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Übersicht" sheetId="1" state="visible" r:id="rId1"/>
    <sheet xmlns:r="http://schemas.openxmlformats.org/officeDocument/2006/relationships" name="Wandgeräte" sheetId="2" state="visible" r:id="rId2"/>
    <sheet xmlns:r="http://schemas.openxmlformats.org/officeDocument/2006/relationships" name="200-Liter-Klasse" sheetId="3" state="visible" r:id="rId3"/>
    <sheet xmlns:r="http://schemas.openxmlformats.org/officeDocument/2006/relationships" name="300-Liter-Klasse" sheetId="4" state="visible" r:id="rId4"/>
  </sheets>
  <definedNames>
    <definedName name="_xlnm._FilterDatabase" localSheetId="0" hidden="1">'Übersicht'!$A$6:$Q$126</definedName>
    <definedName name="_xlnm._FilterDatabase" localSheetId="1" hidden="1">'Wandgeräte'!$A$6:$Q$20</definedName>
    <definedName name="_xlnm._FilterDatabase" localSheetId="2" hidden="1">'200-Liter-Klasse'!$A$6:$Q$44</definedName>
    <definedName name="_xlnm._FilterDatabase" localSheetId="3" hidden="1">'300-Liter-Klasse'!$A$6:$Q$47</definedName>
  </definedNames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 &quot;€&quot;"/>
    <numFmt numFmtId="166" formatCode="0.00 &quot;€&quot;"/>
    <numFmt numFmtId="167" formatCode="0.000 &quot;€&quot;"/>
    <numFmt numFmtId="168" formatCode="#,##0 &quot;€&quot;"/>
  </numFmts>
  <fonts count="12">
    <font>
      <name val="Carlito"/>
      <sz val="11"/>
    </font>
    <font>
      <name val="Arial"/>
      <b val="1"/>
      <color rgb="FF1F1F1F"/>
      <sz val="14"/>
    </font>
    <font>
      <name val="Arial"/>
      <i val="1"/>
      <color rgb="FF666666"/>
      <sz val="9"/>
    </font>
    <font>
      <name val="Arial"/>
      <b val="1"/>
      <sz val="11"/>
    </font>
    <font>
      <name val="Arial"/>
      <i val="1"/>
      <color rgb="FF666666"/>
      <sz val="10"/>
    </font>
    <font>
      <name val="Arial"/>
      <color rgb="FF1F1F1F"/>
      <sz val="10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color rgb="FF1F1F1F"/>
      <sz val="11"/>
    </font>
    <font>
      <name val="Arial"/>
      <sz val="11"/>
    </font>
    <font/>
    <font>
      <i val="1"/>
      <sz val="9"/>
    </font>
  </fonts>
  <fills count="11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CEE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CEEF7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12">
    <border/>
    <border>
      <left style="thin">
        <color rgb="FFD6B656"/>
      </left>
      <top style="thin">
        <color rgb="FFD6B656"/>
      </top>
      <bottom style="thin">
        <color rgb="FFD6B656"/>
      </bottom>
    </border>
    <border>
      <right style="thin">
        <color rgb="FFD6B656"/>
      </right>
      <top style="thin">
        <color rgb="FFD6B656"/>
      </top>
      <bottom style="thin">
        <color rgb="FFD6B656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8FBACC"/>
      </left>
      <right style="thin">
        <color rgb="FF8FBACC"/>
      </right>
      <top style="thin">
        <color rgb="FF8FBACC"/>
      </top>
      <bottom style="thin">
        <color rgb="FF8FBA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CC2D2"/>
      </left>
      <right style="thin">
        <color rgb="FF9CC2D2"/>
      </right>
      <top style="thin">
        <color rgb="FF9CC2D2"/>
      </top>
      <bottom style="thin">
        <color rgb="FF9CC2D2"/>
      </bottom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6" fillId="3" borderId="3" pivotButton="0" quotePrefix="0" xfId="0"/>
    <xf numFmtId="0" fontId="6" fillId="3" borderId="4" pivotButton="0" quotePrefix="0" xfId="0"/>
    <xf numFmtId="0" fontId="6" fillId="3" borderId="5" pivotButton="0" quotePrefix="0" xfId="0"/>
    <xf numFmtId="0" fontId="6" fillId="3" borderId="3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6" fillId="3" borderId="3" applyAlignment="1" pivotButton="0" quotePrefix="0" xfId="0">
      <alignment horizontal="center" wrapText="1"/>
    </xf>
    <xf numFmtId="0" fontId="6" fillId="3" borderId="4" applyAlignment="1" pivotButton="0" quotePrefix="0" xfId="0">
      <alignment horizontal="center" wrapText="1"/>
    </xf>
    <xf numFmtId="0" fontId="6" fillId="3" borderId="5" applyAlignment="1" pivotButton="0" quotePrefix="0" xfId="0">
      <alignment horizont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3" fontId="5" fillId="0" borderId="0" pivotButton="0" quotePrefix="0" xfId="0"/>
    <xf numFmtId="10" fontId="5" fillId="0" borderId="0" pivotButton="0" quotePrefix="0" xfId="0"/>
    <xf numFmtId="2" fontId="5" fillId="0" borderId="0" pivotButton="0" quotePrefix="0" xfId="0"/>
    <xf numFmtId="164" fontId="5" fillId="0" borderId="0" pivotButton="0" quotePrefix="0" xfId="0"/>
    <xf numFmtId="3" fontId="5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5" fillId="0" borderId="6" pivotButton="0" quotePrefix="0" xfId="0"/>
    <xf numFmtId="3" fontId="5" fillId="0" borderId="6" applyAlignment="1" pivotButton="0" quotePrefix="0" xfId="0">
      <alignment horizontal="right"/>
    </xf>
    <xf numFmtId="10" fontId="5" fillId="0" borderId="6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64" fontId="5" fillId="0" borderId="6" applyAlignment="1" pivotButton="0" quotePrefix="0" xfId="0">
      <alignment horizontal="right"/>
    </xf>
    <xf numFmtId="0" fontId="6" fillId="3" borderId="7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/>
    </xf>
    <xf numFmtId="3" fontId="5" fillId="0" borderId="6" applyAlignment="1" pivotButton="0" quotePrefix="0" xfId="0">
      <alignment horizontal="right" vertical="center"/>
    </xf>
    <xf numFmtId="10" fontId="5" fillId="0" borderId="6" applyAlignment="1" pivotButton="0" quotePrefix="0" xfId="0">
      <alignment horizontal="right" vertical="center"/>
    </xf>
    <xf numFmtId="2" fontId="5" fillId="0" borderId="6" applyAlignment="1" pivotButton="0" quotePrefix="0" xfId="0">
      <alignment horizontal="right" vertical="center"/>
    </xf>
    <xf numFmtId="164" fontId="5" fillId="0" borderId="6" applyAlignment="1" pivotButton="0" quotePrefix="0" xfId="0">
      <alignment horizontal="right" vertical="center"/>
    </xf>
    <xf numFmtId="0" fontId="6" fillId="4" borderId="7" applyAlignment="1" pivotButton="0" quotePrefix="0" xfId="0">
      <alignment horizontal="center" vertical="center" wrapText="1"/>
    </xf>
    <xf numFmtId="0" fontId="5" fillId="5" borderId="6" applyAlignment="1" pivotButton="0" quotePrefix="0" xfId="0">
      <alignment vertical="center"/>
    </xf>
    <xf numFmtId="3" fontId="5" fillId="5" borderId="6" applyAlignment="1" pivotButton="0" quotePrefix="0" xfId="0">
      <alignment horizontal="right" vertical="center"/>
    </xf>
    <xf numFmtId="10" fontId="5" fillId="5" borderId="6" applyAlignment="1" pivotButton="0" quotePrefix="0" xfId="0">
      <alignment horizontal="right" vertical="center"/>
    </xf>
    <xf numFmtId="2" fontId="5" fillId="5" borderId="6" applyAlignment="1" pivotButton="0" quotePrefix="0" xfId="0">
      <alignment horizontal="right" vertical="center"/>
    </xf>
    <xf numFmtId="164" fontId="5" fillId="5" borderId="6" applyAlignment="1" pivotButton="0" quotePrefix="0" xfId="0">
      <alignment horizontal="right" vertical="center"/>
    </xf>
    <xf numFmtId="0" fontId="5" fillId="6" borderId="6" applyAlignment="1" pivotButton="0" quotePrefix="0" xfId="0">
      <alignment vertical="center"/>
    </xf>
    <xf numFmtId="3" fontId="5" fillId="6" borderId="6" applyAlignment="1" pivotButton="0" quotePrefix="0" xfId="0">
      <alignment horizontal="right" vertical="center"/>
    </xf>
    <xf numFmtId="10" fontId="5" fillId="6" borderId="6" applyAlignment="1" pivotButton="0" quotePrefix="0" xfId="0">
      <alignment horizontal="right" vertical="center"/>
    </xf>
    <xf numFmtId="2" fontId="5" fillId="6" borderId="6" applyAlignment="1" pivotButton="0" quotePrefix="0" xfId="0">
      <alignment horizontal="right" vertical="center"/>
    </xf>
    <xf numFmtId="164" fontId="5" fillId="6" borderId="6" applyAlignment="1" pivotButton="0" quotePrefix="0" xfId="0">
      <alignment horizontal="right" vertical="center"/>
    </xf>
    <xf numFmtId="0" fontId="5" fillId="5" borderId="8" applyAlignment="1" pivotButton="0" quotePrefix="0" xfId="0">
      <alignment vertical="center"/>
    </xf>
    <xf numFmtId="3" fontId="5" fillId="5" borderId="8" applyAlignment="1" pivotButton="0" quotePrefix="0" xfId="0">
      <alignment horizontal="right" vertical="center"/>
    </xf>
    <xf numFmtId="10" fontId="5" fillId="5" borderId="8" applyAlignment="1" pivotButton="0" quotePrefix="0" xfId="0">
      <alignment horizontal="right" vertical="center"/>
    </xf>
    <xf numFmtId="2" fontId="5" fillId="5" borderId="8" applyAlignment="1" pivotButton="0" quotePrefix="0" xfId="0">
      <alignment horizontal="right" vertical="center"/>
    </xf>
    <xf numFmtId="164" fontId="5" fillId="5" borderId="8" applyAlignment="1" pivotButton="0" quotePrefix="0" xfId="0">
      <alignment horizontal="right" vertical="center"/>
    </xf>
    <xf numFmtId="0" fontId="5" fillId="6" borderId="8" applyAlignment="1" pivotButton="0" quotePrefix="0" xfId="0">
      <alignment vertical="center"/>
    </xf>
    <xf numFmtId="3" fontId="5" fillId="6" borderId="8" applyAlignment="1" pivotButton="0" quotePrefix="0" xfId="0">
      <alignment horizontal="right" vertical="center"/>
    </xf>
    <xf numFmtId="10" fontId="5" fillId="6" borderId="8" applyAlignment="1" pivotButton="0" quotePrefix="0" xfId="0">
      <alignment horizontal="right" vertical="center"/>
    </xf>
    <xf numFmtId="2" fontId="5" fillId="6" borderId="8" applyAlignment="1" pivotButton="0" quotePrefix="0" xfId="0">
      <alignment horizontal="right" vertical="center"/>
    </xf>
    <xf numFmtId="164" fontId="5" fillId="6" borderId="8" applyAlignment="1" pivotButton="0" quotePrefix="0" xfId="0">
      <alignment horizontal="right" vertical="center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8" borderId="0" pivotButton="0" quotePrefix="0" xfId="0"/>
    <xf numFmtId="0" fontId="3" fillId="8" borderId="8" pivotButton="0" quotePrefix="0" xfId="0"/>
    <xf numFmtId="0" fontId="0" fillId="9" borderId="0" pivotButton="0" quotePrefix="0" xfId="0"/>
    <xf numFmtId="0" fontId="8" fillId="9" borderId="0" pivotButton="0" quotePrefix="0" xfId="0"/>
    <xf numFmtId="0" fontId="8" fillId="9" borderId="9" pivotButton="0" quotePrefix="0" xfId="0"/>
    <xf numFmtId="0" fontId="0" fillId="10" borderId="0" pivotButton="0" quotePrefix="0" xfId="0"/>
    <xf numFmtId="0" fontId="9" fillId="10" borderId="0" pivotButton="0" quotePrefix="0" xfId="0"/>
    <xf numFmtId="0" fontId="9" fillId="10" borderId="8" pivotButton="0" quotePrefix="0" xfId="0"/>
    <xf numFmtId="2" fontId="9" fillId="10" borderId="8" pivotButton="0" quotePrefix="0" xfId="0"/>
    <xf numFmtId="3" fontId="9" fillId="10" borderId="8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10" fillId="0" borderId="0" pivotButton="0" quotePrefix="0" xfId="0"/>
    <xf numFmtId="0" fontId="6" fillId="4" borderId="7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/>
    </xf>
    <xf numFmtId="3" fontId="6" fillId="7" borderId="7" applyAlignment="1" pivotButton="0" quotePrefix="0" xfId="0">
      <alignment horizontal="center" vertical="center"/>
    </xf>
    <xf numFmtId="0" fontId="5" fillId="8" borderId="8" applyAlignment="1" pivotButton="0" quotePrefix="0" xfId="0">
      <alignment vertical="center"/>
    </xf>
    <xf numFmtId="3" fontId="5" fillId="8" borderId="8" applyAlignment="1" pivotButton="0" quotePrefix="0" xfId="0">
      <alignment vertical="center"/>
    </xf>
    <xf numFmtId="10" fontId="5" fillId="8" borderId="8" applyAlignment="1" pivotButton="0" quotePrefix="0" xfId="0">
      <alignment vertical="center"/>
    </xf>
    <xf numFmtId="2" fontId="5" fillId="8" borderId="8" applyAlignment="1" pivotButton="0" quotePrefix="0" xfId="0">
      <alignment vertical="center"/>
    </xf>
    <xf numFmtId="164" fontId="5" fillId="8" borderId="8" applyAlignment="1" pivotButton="0" quotePrefix="0" xfId="0">
      <alignment vertical="center"/>
    </xf>
    <xf numFmtId="0" fontId="5" fillId="10" borderId="8" applyAlignment="1" pivotButton="0" quotePrefix="0" xfId="0">
      <alignment vertical="center"/>
    </xf>
    <xf numFmtId="3" fontId="5" fillId="10" borderId="8" applyAlignment="1" pivotButton="0" quotePrefix="0" xfId="0">
      <alignment vertical="center"/>
    </xf>
    <xf numFmtId="10" fontId="5" fillId="10" borderId="8" applyAlignment="1" pivotButton="0" quotePrefix="0" xfId="0">
      <alignment vertical="center"/>
    </xf>
    <xf numFmtId="2" fontId="5" fillId="10" borderId="8" applyAlignment="1" pivotButton="0" quotePrefix="0" xfId="0">
      <alignment vertical="center"/>
    </xf>
    <xf numFmtId="164" fontId="5" fillId="10" borderId="8" applyAlignment="1" pivotButton="0" quotePrefix="0" xfId="0">
      <alignment vertical="center"/>
    </xf>
    <xf numFmtId="165" fontId="5" fillId="10" borderId="8" applyAlignment="1" pivotButton="0" quotePrefix="0" xfId="0">
      <alignment vertical="center"/>
    </xf>
    <xf numFmtId="165" fontId="5" fillId="8" borderId="8" applyAlignment="1" pivotButton="0" quotePrefix="0" xfId="0">
      <alignment vertical="center"/>
    </xf>
    <xf numFmtId="0" fontId="6" fillId="7" borderId="7" applyAlignment="1" pivotButton="0" quotePrefix="0" xfId="0">
      <alignment horizontal="center" vertical="center"/>
    </xf>
    <xf numFmtId="0" fontId="3" fillId="9" borderId="0" pivotButton="0" quotePrefix="0" xfId="0"/>
    <xf numFmtId="166" fontId="3" fillId="9" borderId="0" pivotButton="0" quotePrefix="0" xfId="0"/>
    <xf numFmtId="3" fontId="3" fillId="9" borderId="0" pivotButton="0" quotePrefix="0" xfId="0"/>
    <xf numFmtId="0" fontId="11" fillId="0" borderId="0" pivotButton="0" quotePrefix="0" xfId="0"/>
    <xf numFmtId="0" fontId="6" fillId="7" borderId="7" applyAlignment="1" pivotButton="0" quotePrefix="0" xfId="0">
      <alignment horizontal="center" vertical="center"/>
    </xf>
    <xf numFmtId="167" fontId="5" fillId="8" borderId="8" pivotButton="0" quotePrefix="0" xfId="0"/>
    <xf numFmtId="168" fontId="5" fillId="8" borderId="8" pivotButton="0" quotePrefix="0" xfId="0"/>
    <xf numFmtId="167" fontId="5" fillId="10" borderId="8" pivotButton="0" quotePrefix="0" xfId="0"/>
    <xf numFmtId="168" fontId="5" fillId="10" borderId="8" pivotButton="0" quotePrefix="0" xfId="0"/>
    <xf numFmtId="167" fontId="5" fillId="8" borderId="8" applyAlignment="1" pivotButton="0" quotePrefix="0" xfId="0">
      <alignment vertical="center"/>
    </xf>
    <xf numFmtId="168" fontId="5" fillId="8" borderId="8" applyAlignment="1" pivotButton="0" quotePrefix="0" xfId="0">
      <alignment vertical="center"/>
    </xf>
    <xf numFmtId="167" fontId="5" fillId="10" borderId="8" applyAlignment="1" pivotButton="0" quotePrefix="0" xfId="0">
      <alignment vertical="center"/>
    </xf>
    <xf numFmtId="168" fontId="5" fillId="10" borderId="8" applyAlignment="1" pivotButton="0" quotePrefix="0" xfId="0">
      <alignment vertical="center"/>
    </xf>
    <xf numFmtId="0" fontId="6" fillId="7" borderId="7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left" vertical="center"/>
    </xf>
    <xf numFmtId="0" fontId="6" fillId="7" borderId="7" applyAlignment="1" pivotButton="0" quotePrefix="0" xfId="0">
      <alignment horizontal="left" vertical="center"/>
    </xf>
    <xf numFmtId="0" fontId="5" fillId="8" borderId="8" applyAlignment="1" pivotButton="0" quotePrefix="0" xfId="0">
      <alignment horizontal="center" vertical="center"/>
    </xf>
    <xf numFmtId="3" fontId="5" fillId="8" borderId="8" applyAlignment="1" pivotButton="0" quotePrefix="0" xfId="0">
      <alignment horizontal="center" vertical="center"/>
    </xf>
    <xf numFmtId="10" fontId="5" fillId="8" borderId="8" applyAlignment="1" pivotButton="0" quotePrefix="0" xfId="0">
      <alignment horizontal="center" vertical="center"/>
    </xf>
    <xf numFmtId="2" fontId="5" fillId="8" borderId="8" applyAlignment="1" pivotButton="0" quotePrefix="0" xfId="0">
      <alignment horizontal="center" vertical="center"/>
    </xf>
    <xf numFmtId="164" fontId="5" fillId="8" borderId="8" applyAlignment="1" pivotButton="0" quotePrefix="0" xfId="0">
      <alignment horizontal="center" vertical="center"/>
    </xf>
    <xf numFmtId="167" fontId="5" fillId="8" borderId="8" applyAlignment="1" pivotButton="0" quotePrefix="0" xfId="0">
      <alignment horizontal="center" vertical="center"/>
    </xf>
    <xf numFmtId="168" fontId="5" fillId="8" borderId="8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3" fontId="5" fillId="10" borderId="8" applyAlignment="1" pivotButton="0" quotePrefix="0" xfId="0">
      <alignment horizontal="center" vertical="center"/>
    </xf>
    <xf numFmtId="10" fontId="5" fillId="10" borderId="8" applyAlignment="1" pivotButton="0" quotePrefix="0" xfId="0">
      <alignment horizontal="center" vertical="center"/>
    </xf>
    <xf numFmtId="2" fontId="5" fillId="10" borderId="8" applyAlignment="1" pivotButton="0" quotePrefix="0" xfId="0">
      <alignment horizontal="center" vertical="center"/>
    </xf>
    <xf numFmtId="164" fontId="5" fillId="10" borderId="8" applyAlignment="1" pivotButton="0" quotePrefix="0" xfId="0">
      <alignment horizontal="center" vertical="center"/>
    </xf>
    <xf numFmtId="167" fontId="5" fillId="10" borderId="8" applyAlignment="1" pivotButton="0" quotePrefix="0" xfId="0">
      <alignment horizontal="center" vertical="center"/>
    </xf>
    <xf numFmtId="168" fontId="5" fillId="10" borderId="8" applyAlignment="1" pivotButton="0" quotePrefix="0" xfId="0">
      <alignment horizontal="center" vertical="center"/>
    </xf>
    <xf numFmtId="165" fontId="5" fillId="8" borderId="8" applyAlignment="1" pivotButton="0" quotePrefix="0" xfId="0">
      <alignment horizontal="center" vertical="center"/>
    </xf>
    <xf numFmtId="165" fontId="5" fillId="10" borderId="8" applyAlignment="1" pivotButton="0" quotePrefix="0" xfId="0">
      <alignment horizontal="center" vertical="center"/>
    </xf>
    <xf numFmtId="0" fontId="5" fillId="8" borderId="8" applyAlignment="1" pivotButton="0" quotePrefix="0" xfId="0">
      <alignment horizontal="left" vertical="center"/>
    </xf>
    <xf numFmtId="0" fontId="5" fillId="10" borderId="8" applyAlignment="1" pivotButton="0" quotePrefix="0" xfId="0">
      <alignment horizontal="lef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ärmepumpenTabelle" displayName="WärmepumpenTabelle" ref="A6:I56" headerRowCount="1" totalsRowCount="0" totalsRowShown="0">
  <tableColumns count="9">
    <tableColumn id="1" name="Markenname"/>
    <tableColumn id="2" name="EHPA Gütesiegel"/>
    <tableColumn id="3" name="EEff_Klasse_WWB"/>
    <tableColumn id="4" name="V_Speicher (L)"/>
    <tableColumn id="5" name="ηwh_m"/>
    <tableColumn id="6" name="SCOP"/>
    <tableColumn id="7" name="L_WA, Innen dB(A)"/>
    <tableColumn id="8" name="Ssv_65°C (kWh/Tag)"/>
    <tableColumn id="9" name="Kältemitt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Q2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hidden="1" width="16" customWidth="1" min="2" max="2"/>
    <col width="15" customWidth="1" min="3" max="3"/>
    <col width="14" customWidth="1" min="4" max="4"/>
    <col width="10" customWidth="1" min="5" max="5"/>
    <col width="9" customWidth="1" min="6" max="6"/>
    <col width="17" customWidth="1" min="7" max="7"/>
    <col width="18" customWidth="1" min="8" max="8"/>
    <col width="13" customWidth="1" min="9" max="9"/>
    <col width="14" customWidth="1" min="10" max="10"/>
    <col width="24" customWidth="1" min="11" max="11"/>
    <col width="13" customWidth="1" min="12" max="12"/>
    <col width="30" customWidth="1" min="13" max="13"/>
    <col width="34" customWidth="1" min="14" max="14"/>
    <col width="34" customWidth="1" min="15" max="15"/>
    <col width="20" customWidth="1" min="16" max="16"/>
    <col width="21" customWidth="1" min="17" max="17"/>
  </cols>
  <sheetData>
    <row r="1" ht="20" customHeight="1">
      <c r="K1" s="78" t="n"/>
      <c r="L1" s="78" t="n"/>
      <c r="M1" s="78" t="n"/>
      <c r="N1" s="78" t="n"/>
      <c r="O1" s="78" t="n"/>
      <c r="P1" s="78" t="n"/>
      <c r="Q1" s="78" t="n"/>
    </row>
    <row r="2" ht="20" customHeight="1">
      <c r="A2" s="1" t="inlineStr">
        <is>
          <t>Brauchwasserwärmepumpen (bodenstehend) – ηwh_m und SCOP</t>
        </is>
      </c>
      <c r="K2" s="79" t="n"/>
      <c r="L2" s="78" t="n"/>
      <c r="M2" s="78" t="n"/>
      <c r="N2" s="78" t="n"/>
      <c r="O2" s="78" t="n"/>
      <c r="P2" s="78" t="n"/>
      <c r="Q2" s="78" t="n"/>
    </row>
    <row r="3" ht="20" customHeight="1">
      <c r="A3" s="2" t="inlineStr">
        <is>
          <t>Quellen: produktdatenbank-get.at (Gruppe 396), Herstellerdatenblätter sowie Händlerpreise (heizungsdiscount24.de, heizbude.de, heat-store.de, alternative-haustechnik.de, hofman-energy.com u. a.); Stand: 23.09.2026</t>
        </is>
      </c>
      <c r="K3" s="78" t="n"/>
      <c r="L3" s="78" t="n"/>
      <c r="M3" s="78" t="n"/>
      <c r="N3" s="78" t="n"/>
      <c r="O3" s="78" t="n"/>
      <c r="P3" s="78" t="n"/>
      <c r="Q3" s="78" t="n"/>
    </row>
    <row r="4" ht="20" customHeight="1">
      <c r="A4" s="5" t="inlineStr">
        <is>
          <t>SCOP-Faktor</t>
        </is>
      </c>
      <c r="B4" s="6" t="n">
        <v>2.5</v>
      </c>
      <c r="C4" s="7" t="inlineStr">
        <is>
          <t>SCOP = ηwh_m (Dezimalwert) × Faktor. Liegt kein ηwh_m vor, steht der vom Hersteller angegebene SCOP/COP direkt in der Spalte – die Messbasis steht in Spalte "Quelle". Sortiert nach SCOP absteigend. Preise inkl. MwSt.</t>
        </is>
      </c>
      <c r="K4" s="78" t="n"/>
      <c r="L4" s="78" t="n"/>
      <c r="M4" s="78" t="n"/>
      <c r="N4" s="78" t="n"/>
      <c r="O4" s="78" t="n"/>
      <c r="P4" s="78" t="n"/>
      <c r="Q4" s="78" t="n"/>
    </row>
    <row r="5" ht="20" customHeight="1">
      <c r="A5" s="97" t="inlineStr">
        <is>
          <t>Strompreis (€/kWh)</t>
        </is>
      </c>
      <c r="B5" s="98" t="n">
        <v>0.3</v>
      </c>
      <c r="C5" s="97" t="inlineStr">
        <is>
          <t>Warmwasser-Bedarf (kWh/a)</t>
        </is>
      </c>
      <c r="D5" s="99" t="n">
        <v>2000</v>
      </c>
      <c r="E5" s="100" t="inlineStr">
        <is>
          <t>Wärmekosten = Strompreis ÷ SCOP · Jahreskosten = Bedarf × Strompreis ÷ SCOP</t>
        </is>
      </c>
      <c r="K5" s="78" t="n"/>
      <c r="L5" s="80" t="n"/>
      <c r="M5" s="78" t="n"/>
      <c r="N5" s="78" t="n"/>
      <c r="O5" s="78" t="n"/>
      <c r="P5" s="78" t="n"/>
      <c r="Q5" s="78" t="n"/>
    </row>
    <row r="6" ht="26" customHeight="1">
      <c r="A6" s="112" t="inlineStr">
        <is>
          <t>Markenname</t>
        </is>
      </c>
      <c r="B6" s="81" t="inlineStr">
        <is>
          <t>EHPA Gütesiegel</t>
        </is>
      </c>
      <c r="C6" s="81" t="inlineStr">
        <is>
          <t>EEff_Klasse_WWB</t>
        </is>
      </c>
      <c r="D6" s="81" t="inlineStr">
        <is>
          <t>V_Speicher (L)</t>
        </is>
      </c>
      <c r="E6" s="81" t="inlineStr">
        <is>
          <t>ηwh_m</t>
        </is>
      </c>
      <c r="F6" s="81" t="inlineStr">
        <is>
          <t>SCOP</t>
        </is>
      </c>
      <c r="G6" s="81" t="inlineStr">
        <is>
          <t>L_WA, Innen dB(A)</t>
        </is>
      </c>
      <c r="H6" s="81" t="inlineStr">
        <is>
          <t>Ssv_65°C (kWh/Tag)</t>
        </is>
      </c>
      <c r="I6" s="81" t="inlineStr">
        <is>
          <t>Kältemittel</t>
        </is>
      </c>
      <c r="J6" s="111" t="inlineStr">
        <is>
          <t>Preis (€)</t>
        </is>
      </c>
      <c r="K6" s="111" t="inlineStr">
        <is>
          <t>Wärmetauscher</t>
        </is>
      </c>
      <c r="L6" s="83" t="inlineStr">
        <is>
          <t>Heizstab (W)</t>
        </is>
      </c>
      <c r="M6" s="113" t="inlineStr">
        <is>
          <t>Quelle / SCOP-Basis</t>
        </is>
      </c>
      <c r="N6" s="113" t="inlineStr">
        <is>
          <t>Kesselmaterial</t>
        </is>
      </c>
      <c r="O6" s="113" t="inlineStr">
        <is>
          <t>Anodenart</t>
        </is>
      </c>
      <c r="P6" s="111" t="inlineStr">
        <is>
          <t>Wärmekosten (€/kWh)</t>
        </is>
      </c>
      <c r="Q6" s="111" t="inlineStr">
        <is>
          <t>Jahreskosten WW (€/a)</t>
        </is>
      </c>
    </row>
    <row r="7" ht="20" customHeight="1">
      <c r="A7" s="130" t="inlineStr">
        <is>
          <t>OCHSNER EUROPA N 300 R CA</t>
        </is>
      </c>
      <c r="B7" s="114" t="inlineStr">
        <is>
          <t>02.04.2028</t>
        </is>
      </c>
      <c r="C7" s="114" t="inlineStr">
        <is>
          <t>A++</t>
        </is>
      </c>
      <c r="D7" s="115" t="n">
        <v>294</v>
      </c>
      <c r="E7" s="116" t="n">
        <v>1.773</v>
      </c>
      <c r="F7" s="117">
        <f>E7*$B$4</f>
        <v/>
      </c>
      <c r="G7" s="118" t="n">
        <v>59</v>
      </c>
      <c r="H7" s="117" t="n">
        <v>0</v>
      </c>
      <c r="I7" s="114" t="inlineStr">
        <is>
          <t>R-290</t>
        </is>
      </c>
      <c r="J7" s="114" t="inlineStr">
        <is>
          <t>–</t>
        </is>
      </c>
      <c r="K7" s="114" t="inlineStr">
        <is>
          <t>ja (R)</t>
        </is>
      </c>
      <c r="L7" s="115" t="n">
        <v>1500</v>
      </c>
      <c r="M7" s="130" t="inlineStr">
        <is>
          <t>GET-DB + OCHSNER-Datenblatt (ηwh_m × Faktor; COP lt. Hersteller 4,34 bei A20) · WT 0,9 m²</t>
        </is>
      </c>
      <c r="N7" s="130" t="inlineStr">
        <is>
          <t>–</t>
        </is>
      </c>
      <c r="O7" s="130" t="inlineStr">
        <is>
          <t>–</t>
        </is>
      </c>
      <c r="P7" s="119">
        <f>IFERROR($B$5/F7,"–")</f>
        <v/>
      </c>
      <c r="Q7" s="120">
        <f>IFERROR($D$5*$B$5/F7,"–")</f>
        <v/>
      </c>
    </row>
    <row r="8" ht="20" customHeight="1">
      <c r="A8" s="131" t="inlineStr">
        <is>
          <t>Stiebel Eltron WWK-I 300 W Plus</t>
        </is>
      </c>
      <c r="B8" s="121" t="inlineStr">
        <is>
          <t>23.01.2028</t>
        </is>
      </c>
      <c r="C8" s="121" t="inlineStr">
        <is>
          <t>A++</t>
        </is>
      </c>
      <c r="D8" s="122" t="n">
        <v>294</v>
      </c>
      <c r="E8" s="123" t="n">
        <v>1.773</v>
      </c>
      <c r="F8" s="124">
        <f>E8*$B$4</f>
        <v/>
      </c>
      <c r="G8" s="125" t="n">
        <v>59</v>
      </c>
      <c r="H8" s="124" t="n">
        <v>0</v>
      </c>
      <c r="I8" s="121" t="inlineStr">
        <is>
          <t>R-290</t>
        </is>
      </c>
      <c r="J8" s="121" t="inlineStr">
        <is>
          <t>–</t>
        </is>
      </c>
      <c r="K8" s="121" t="inlineStr">
        <is>
          <t>–</t>
        </is>
      </c>
      <c r="L8" s="121" t="inlineStr">
        <is>
          <t>–</t>
        </is>
      </c>
      <c r="M8" s="131" t="inlineStr">
        <is>
          <t>GET-DB (ηwh_m × Faktor)</t>
        </is>
      </c>
      <c r="N8" s="131" t="inlineStr">
        <is>
          <t>emailliert</t>
        </is>
      </c>
      <c r="O8" s="131" t="inlineStr">
        <is>
          <t>–</t>
        </is>
      </c>
      <c r="P8" s="126">
        <f>IFERROR($B$5/F8,"–")</f>
        <v/>
      </c>
      <c r="Q8" s="127">
        <f>IFERROR($D$5*$B$5/F8,"–")</f>
        <v/>
      </c>
    </row>
    <row r="9" ht="20" customHeight="1">
      <c r="A9" s="130" t="inlineStr">
        <is>
          <t>Stiebel Eltron WWK-I 200 Plus</t>
        </is>
      </c>
      <c r="B9" s="114" t="inlineStr">
        <is>
          <t>23.01.2028</t>
        </is>
      </c>
      <c r="C9" s="114" t="inlineStr">
        <is>
          <t>A++</t>
        </is>
      </c>
      <c r="D9" s="115" t="n">
        <v>200</v>
      </c>
      <c r="E9" s="116" t="n">
        <v>1.76</v>
      </c>
      <c r="F9" s="117">
        <f>E9*$B$4</f>
        <v/>
      </c>
      <c r="G9" s="118" t="n">
        <v>59</v>
      </c>
      <c r="H9" s="117" t="n">
        <v>0</v>
      </c>
      <c r="I9" s="114" t="inlineStr">
        <is>
          <t>R-290</t>
        </is>
      </c>
      <c r="J9" s="114" t="inlineStr">
        <is>
          <t>–</t>
        </is>
      </c>
      <c r="K9" s="114" t="inlineStr">
        <is>
          <t>–</t>
        </is>
      </c>
      <c r="L9" s="114" t="inlineStr">
        <is>
          <t>–</t>
        </is>
      </c>
      <c r="M9" s="130" t="inlineStr">
        <is>
          <t>GET-DB (ηwh_m × Faktor)</t>
        </is>
      </c>
      <c r="N9" s="130" t="inlineStr">
        <is>
          <t>emailliert</t>
        </is>
      </c>
      <c r="O9" s="130" t="inlineStr">
        <is>
          <t>–</t>
        </is>
      </c>
      <c r="P9" s="119">
        <f>IFERROR($B$5/F9,"–")</f>
        <v/>
      </c>
      <c r="Q9" s="120">
        <f>IFERROR($D$5*$B$5/F9,"–")</f>
        <v/>
      </c>
    </row>
    <row r="10" ht="20" customHeight="1">
      <c r="A10" s="131" t="inlineStr">
        <is>
          <t>OCHSNER EUROPA N 200 CA</t>
        </is>
      </c>
      <c r="B10" s="121" t="inlineStr">
        <is>
          <t>02.04.2028</t>
        </is>
      </c>
      <c r="C10" s="121" t="inlineStr">
        <is>
          <t>A++</t>
        </is>
      </c>
      <c r="D10" s="122" t="n">
        <v>200</v>
      </c>
      <c r="E10" s="123" t="n">
        <v>1.757</v>
      </c>
      <c r="F10" s="124">
        <f>E10*$B$4</f>
        <v/>
      </c>
      <c r="G10" s="125" t="n">
        <v>59</v>
      </c>
      <c r="H10" s="124" t="n">
        <v>0</v>
      </c>
      <c r="I10" s="121" t="inlineStr">
        <is>
          <t>R-290</t>
        </is>
      </c>
      <c r="J10" s="121" t="inlineStr">
        <is>
          <t>–</t>
        </is>
      </c>
      <c r="K10" s="121" t="inlineStr">
        <is>
          <t>nein</t>
        </is>
      </c>
      <c r="L10" s="122" t="n">
        <v>1500</v>
      </c>
      <c r="M10" s="131" t="inlineStr">
        <is>
          <t>GET-DB + OCHSNER-Datenblatt (ηwh_m × Faktor; COP lt. Hersteller 4,27 bei A20)</t>
        </is>
      </c>
      <c r="N10" s="131" t="inlineStr">
        <is>
          <t>–</t>
        </is>
      </c>
      <c r="O10" s="131" t="inlineStr">
        <is>
          <t>–</t>
        </is>
      </c>
      <c r="P10" s="126">
        <f>IFERROR($B$5/F10,"–")</f>
        <v/>
      </c>
      <c r="Q10" s="127">
        <f>IFERROR($D$5*$B$5/F10,"–")</f>
        <v/>
      </c>
    </row>
    <row r="11" ht="20" customHeight="1">
      <c r="A11" s="130" t="inlineStr">
        <is>
          <t>Kronoterm ESSENTA-303</t>
        </is>
      </c>
      <c r="B11" s="114" t="inlineStr">
        <is>
          <t>–</t>
        </is>
      </c>
      <c r="C11" s="114" t="inlineStr">
        <is>
          <t>A++</t>
        </is>
      </c>
      <c r="D11" s="115" t="n">
        <v>300</v>
      </c>
      <c r="E11" s="116" t="n">
        <v>1.72</v>
      </c>
      <c r="F11" s="117">
        <f>E11*$B$4</f>
        <v/>
      </c>
      <c r="G11" s="118" t="n">
        <v>55</v>
      </c>
      <c r="H11" s="114" t="inlineStr">
        <is>
          <t>–</t>
        </is>
      </c>
      <c r="I11" s="114" t="inlineStr">
        <is>
          <t>R-290</t>
        </is>
      </c>
      <c r="J11" s="114" t="inlineStr">
        <is>
          <t>–</t>
        </is>
      </c>
      <c r="K11" s="114" t="inlineStr">
        <is>
          <t>–</t>
        </is>
      </c>
      <c r="L11" s="114" t="inlineStr">
        <is>
          <t>–</t>
        </is>
      </c>
      <c r="M11" s="130" t="inlineStr">
        <is>
          <t>Kronoterm ErP-Datenblatt (ηwh_m × Faktor, A20 Raumluft, XL; A14: 163 %, A7: 149 %)</t>
        </is>
      </c>
      <c r="N11" s="130" t="inlineStr">
        <is>
          <t>–</t>
        </is>
      </c>
      <c r="O11" s="130" t="inlineStr">
        <is>
          <t>–</t>
        </is>
      </c>
      <c r="P11" s="119">
        <f>IFERROR($B$5/F11,"–")</f>
        <v/>
      </c>
      <c r="Q11" s="120">
        <f>IFERROR($D$5*$B$5/F11,"–")</f>
        <v/>
      </c>
    </row>
    <row r="12" ht="20" customHeight="1">
      <c r="A12" s="131" t="inlineStr">
        <is>
          <t>OCHSNER EUROPA N 300 CA</t>
        </is>
      </c>
      <c r="B12" s="121" t="inlineStr">
        <is>
          <t>02.04.2028</t>
        </is>
      </c>
      <c r="C12" s="121" t="inlineStr">
        <is>
          <t>A++</t>
        </is>
      </c>
      <c r="D12" s="122" t="n">
        <v>300</v>
      </c>
      <c r="E12" s="123" t="n">
        <v>1.718</v>
      </c>
      <c r="F12" s="124">
        <f>E12*$B$4</f>
        <v/>
      </c>
      <c r="G12" s="125" t="n">
        <v>59</v>
      </c>
      <c r="H12" s="124" t="n">
        <v>0</v>
      </c>
      <c r="I12" s="121" t="inlineStr">
        <is>
          <t>R-290</t>
        </is>
      </c>
      <c r="J12" s="121" t="inlineStr">
        <is>
          <t>–</t>
        </is>
      </c>
      <c r="K12" s="121" t="inlineStr">
        <is>
          <t>nein</t>
        </is>
      </c>
      <c r="L12" s="122" t="n">
        <v>1500</v>
      </c>
      <c r="M12" s="131" t="inlineStr">
        <is>
          <t>GET-DB (ηwh_m × Faktor); Datenblatt nennt abweichend 294 L / 177,3 %</t>
        </is>
      </c>
      <c r="N12" s="131" t="inlineStr">
        <is>
          <t>–</t>
        </is>
      </c>
      <c r="O12" s="131" t="inlineStr">
        <is>
          <t>–</t>
        </is>
      </c>
      <c r="P12" s="126">
        <f>IFERROR($B$5/F12,"–")</f>
        <v/>
      </c>
      <c r="Q12" s="127">
        <f>IFERROR($D$5*$B$5/F12,"–")</f>
        <v/>
      </c>
    </row>
    <row r="13" ht="20" customHeight="1">
      <c r="A13" s="130" t="inlineStr">
        <is>
          <t>Stiebel Eltron WWK-I 300 Plus</t>
        </is>
      </c>
      <c r="B13" s="114" t="inlineStr">
        <is>
          <t>23.01.2028</t>
        </is>
      </c>
      <c r="C13" s="114" t="inlineStr">
        <is>
          <t>A++</t>
        </is>
      </c>
      <c r="D13" s="115" t="n">
        <v>300</v>
      </c>
      <c r="E13" s="116" t="n">
        <v>1.718</v>
      </c>
      <c r="F13" s="117">
        <f>E13*$B$4</f>
        <v/>
      </c>
      <c r="G13" s="118" t="n">
        <v>59</v>
      </c>
      <c r="H13" s="117" t="n">
        <v>0</v>
      </c>
      <c r="I13" s="114" t="inlineStr">
        <is>
          <t>R-290</t>
        </is>
      </c>
      <c r="J13" s="114" t="inlineStr">
        <is>
          <t>–</t>
        </is>
      </c>
      <c r="K13" s="114" t="inlineStr">
        <is>
          <t>–</t>
        </is>
      </c>
      <c r="L13" s="114" t="inlineStr">
        <is>
          <t>–</t>
        </is>
      </c>
      <c r="M13" s="130" t="inlineStr">
        <is>
          <t>GET-DB (ηwh_m × Faktor)</t>
        </is>
      </c>
      <c r="N13" s="130" t="inlineStr">
        <is>
          <t>emailliert</t>
        </is>
      </c>
      <c r="O13" s="130" t="inlineStr">
        <is>
          <t>–</t>
        </is>
      </c>
      <c r="P13" s="119">
        <f>IFERROR($B$5/F13,"–")</f>
        <v/>
      </c>
      <c r="Q13" s="120">
        <f>IFERROR($D$5*$B$5/F13,"–")</f>
        <v/>
      </c>
    </row>
    <row r="14" ht="20" customHeight="1">
      <c r="A14" s="131" t="inlineStr">
        <is>
          <t>Viessmann Vitocal 262-A T2E R-290</t>
        </is>
      </c>
      <c r="B14" s="121" t="inlineStr">
        <is>
          <t>08.04.2027</t>
        </is>
      </c>
      <c r="C14" s="121" t="inlineStr">
        <is>
          <t>A++</t>
        </is>
      </c>
      <c r="D14" s="122" t="n">
        <v>300</v>
      </c>
      <c r="E14" s="123" t="n">
        <v>1.65</v>
      </c>
      <c r="F14" s="124">
        <f>E14*$B$4</f>
        <v/>
      </c>
      <c r="G14" s="125" t="n">
        <v>55</v>
      </c>
      <c r="H14" s="124" t="n">
        <v>0.7</v>
      </c>
      <c r="I14" s="121" t="inlineStr">
        <is>
          <t>R-290</t>
        </is>
      </c>
      <c r="J14" s="121" t="inlineStr">
        <is>
          <t>–</t>
        </is>
      </c>
      <c r="K14" s="121" t="inlineStr">
        <is>
          <t>–</t>
        </is>
      </c>
      <c r="L14" s="121" t="inlineStr">
        <is>
          <t>–</t>
        </is>
      </c>
      <c r="M14" s="131" t="inlineStr">
        <is>
          <t>GET-DB (ηwh_m × Faktor)</t>
        </is>
      </c>
      <c r="N14" s="131" t="inlineStr">
        <is>
          <t>emailliert (Ceraprotect)</t>
        </is>
      </c>
      <c r="O14" s="131" t="inlineStr">
        <is>
          <t>Magnesiumanode (elektr. überwacht)</t>
        </is>
      </c>
      <c r="P14" s="126">
        <f>IFERROR($B$5/F14,"–")</f>
        <v/>
      </c>
      <c r="Q14" s="127">
        <f>IFERROR($D$5*$B$5/F14,"–")</f>
        <v/>
      </c>
    </row>
    <row r="15" ht="20" customHeight="1">
      <c r="A15" s="130" t="inlineStr">
        <is>
          <t>Viessmann Vitocal 262-A T2E-ze 300l</t>
        </is>
      </c>
      <c r="B15" s="114" t="inlineStr">
        <is>
          <t>21.02.2024</t>
        </is>
      </c>
      <c r="C15" s="114" t="inlineStr">
        <is>
          <t>A++</t>
        </is>
      </c>
      <c r="D15" s="115" t="n">
        <v>300</v>
      </c>
      <c r="E15" s="116" t="n">
        <v>1.65</v>
      </c>
      <c r="F15" s="117">
        <f>E15*$B$4</f>
        <v/>
      </c>
      <c r="G15" s="118" t="n">
        <v>53</v>
      </c>
      <c r="H15" s="117" t="n">
        <v>0.7</v>
      </c>
      <c r="I15" s="114" t="inlineStr">
        <is>
          <t>---</t>
        </is>
      </c>
      <c r="J15" s="114" t="inlineStr">
        <is>
          <t>–</t>
        </is>
      </c>
      <c r="K15" s="114" t="inlineStr">
        <is>
          <t>–</t>
        </is>
      </c>
      <c r="L15" s="114" t="inlineStr">
        <is>
          <t>–</t>
        </is>
      </c>
      <c r="M15" s="130" t="inlineStr">
        <is>
          <t>GET-DB (ηwh_m × Faktor)</t>
        </is>
      </c>
      <c r="N15" s="130" t="inlineStr">
        <is>
          <t>emailliert (Ceraprotect)</t>
        </is>
      </c>
      <c r="O15" s="130" t="inlineStr">
        <is>
          <t>Magnesiumanode (elektr. überwacht)</t>
        </is>
      </c>
      <c r="P15" s="119">
        <f>IFERROR($B$5/F15,"–")</f>
        <v/>
      </c>
      <c r="Q15" s="120">
        <f>IFERROR($D$5*$B$5/F15,"–")</f>
        <v/>
      </c>
    </row>
    <row r="16" ht="20" customHeight="1">
      <c r="A16" s="131" t="inlineStr">
        <is>
          <t>Viessmann Vitocal 262-A T2H-ze 300l</t>
        </is>
      </c>
      <c r="B16" s="121" t="inlineStr">
        <is>
          <t>21.02.2024</t>
        </is>
      </c>
      <c r="C16" s="121" t="inlineStr">
        <is>
          <t>A++</t>
        </is>
      </c>
      <c r="D16" s="122" t="n">
        <v>300</v>
      </c>
      <c r="E16" s="123" t="n">
        <v>1.65</v>
      </c>
      <c r="F16" s="124">
        <f>E16*$B$4</f>
        <v/>
      </c>
      <c r="G16" s="125" t="n">
        <v>53</v>
      </c>
      <c r="H16" s="124" t="n">
        <v>0.7</v>
      </c>
      <c r="I16" s="121" t="inlineStr">
        <is>
          <t>---</t>
        </is>
      </c>
      <c r="J16" s="121" t="inlineStr">
        <is>
          <t>–</t>
        </is>
      </c>
      <c r="K16" s="121" t="inlineStr">
        <is>
          <t>–</t>
        </is>
      </c>
      <c r="L16" s="121" t="inlineStr">
        <is>
          <t>–</t>
        </is>
      </c>
      <c r="M16" s="131" t="inlineStr">
        <is>
          <t>GET-DB (ηwh_m × Faktor)</t>
        </is>
      </c>
      <c r="N16" s="131" t="inlineStr">
        <is>
          <t>emailliert (Ceraprotect)</t>
        </is>
      </c>
      <c r="O16" s="131" t="inlineStr">
        <is>
          <t>Magnesiumanode (elektr. überwacht)</t>
        </is>
      </c>
      <c r="P16" s="126">
        <f>IFERROR($B$5/F16,"–")</f>
        <v/>
      </c>
      <c r="Q16" s="127">
        <f>IFERROR($D$5*$B$5/F16,"–")</f>
        <v/>
      </c>
    </row>
    <row r="17" ht="20" customHeight="1">
      <c r="A17" s="130" t="inlineStr">
        <is>
          <t>Austria Email Explorer Evo 3 270L</t>
        </is>
      </c>
      <c r="B17" s="114" t="inlineStr">
        <is>
          <t>–</t>
        </is>
      </c>
      <c r="C17" s="114" t="inlineStr">
        <is>
          <t>A++</t>
        </is>
      </c>
      <c r="D17" s="115" t="n">
        <v>270</v>
      </c>
      <c r="E17" s="116" t="n">
        <v>1.64</v>
      </c>
      <c r="F17" s="117">
        <f>E17*$B$4</f>
        <v/>
      </c>
      <c r="G17" s="118" t="n">
        <v>47</v>
      </c>
      <c r="H17" s="114" t="inlineStr">
        <is>
          <t>–</t>
        </is>
      </c>
      <c r="I17" s="114" t="inlineStr">
        <is>
          <t>R-290</t>
        </is>
      </c>
      <c r="J17" s="128" t="n">
        <v>2098</v>
      </c>
      <c r="K17" s="114" t="inlineStr">
        <is>
          <t>nein</t>
        </is>
      </c>
      <c r="L17" s="115" t="n">
        <v>1200</v>
      </c>
      <c r="M17" s="130" t="inlineStr">
        <is>
          <t>HD24 (ηwh_m × Faktor) – Klasse aus ηwh 164 % bei Lastprofil XL (Shop nannte A+)</t>
        </is>
      </c>
      <c r="N17" s="130" t="inlineStr">
        <is>
          <t>emailliert</t>
        </is>
      </c>
      <c r="O17" s="130" t="inlineStr">
        <is>
          <t>ACI-Hybrid (Titan/Mg)</t>
        </is>
      </c>
      <c r="P17" s="119">
        <f>IFERROR($B$5/F17,"–")</f>
        <v/>
      </c>
      <c r="Q17" s="120">
        <f>IFERROR($D$5*$B$5/F17,"–")</f>
        <v/>
      </c>
    </row>
    <row r="18" ht="20" customHeight="1">
      <c r="A18" s="131" t="inlineStr">
        <is>
          <t>ELCO AEROTOP DHW.3 250</t>
        </is>
      </c>
      <c r="B18" s="121" t="inlineStr">
        <is>
          <t>–</t>
        </is>
      </c>
      <c r="C18" s="121" t="inlineStr">
        <is>
          <t>A+</t>
        </is>
      </c>
      <c r="D18" s="122" t="n">
        <v>250</v>
      </c>
      <c r="E18" s="123" t="inlineStr">
        <is>
          <t>–</t>
        </is>
      </c>
      <c r="F18" s="124" t="n">
        <v>4.1</v>
      </c>
      <c r="G18" s="125" t="n">
        <v>48</v>
      </c>
      <c r="H18" s="121" t="inlineStr">
        <is>
          <t>–</t>
        </is>
      </c>
      <c r="I18" s="121" t="inlineStr">
        <is>
          <t>R-290</t>
        </is>
      </c>
      <c r="J18" s="121" t="inlineStr">
        <is>
          <t>–</t>
        </is>
      </c>
      <c r="K18" s="121" t="inlineStr">
        <is>
          <t>nein</t>
        </is>
      </c>
      <c r="L18" s="121" t="inlineStr">
        <is>
          <t>–</t>
        </is>
      </c>
      <c r="M18" s="131" t="inlineStr">
        <is>
          <t>elco.de (COP A20/W10-55; A7: 3,5)</t>
        </is>
      </c>
      <c r="N18" s="131" t="inlineStr">
        <is>
          <t>–</t>
        </is>
      </c>
      <c r="O18" s="131" t="inlineStr">
        <is>
          <t>–</t>
        </is>
      </c>
      <c r="P18" s="126">
        <f>IFERROR($B$5/F18,"–")</f>
        <v/>
      </c>
      <c r="Q18" s="127">
        <f>IFERROR($D$5*$B$5/F18,"–")</f>
        <v/>
      </c>
    </row>
    <row r="19" ht="20" customHeight="1">
      <c r="A19" s="130" t="inlineStr">
        <is>
          <t>ELCO AEROTOP DHW.3 250 SYS</t>
        </is>
      </c>
      <c r="B19" s="114" t="inlineStr">
        <is>
          <t>–</t>
        </is>
      </c>
      <c r="C19" s="114" t="inlineStr">
        <is>
          <t>A+</t>
        </is>
      </c>
      <c r="D19" s="115" t="n">
        <v>245</v>
      </c>
      <c r="E19" s="116" t="inlineStr">
        <is>
          <t>–</t>
        </is>
      </c>
      <c r="F19" s="117" t="n">
        <v>4.1</v>
      </c>
      <c r="G19" s="118" t="n">
        <v>48</v>
      </c>
      <c r="H19" s="114" t="inlineStr">
        <is>
          <t>–</t>
        </is>
      </c>
      <c r="I19" s="114" t="inlineStr">
        <is>
          <t>R-290</t>
        </is>
      </c>
      <c r="J19" s="114" t="inlineStr">
        <is>
          <t>–</t>
        </is>
      </c>
      <c r="K19" s="114" t="inlineStr">
        <is>
          <t>ja (SYS)</t>
        </is>
      </c>
      <c r="L19" s="114" t="inlineStr">
        <is>
          <t>–</t>
        </is>
      </c>
      <c r="M19" s="130" t="inlineStr">
        <is>
          <t>elco.de (COP A20/W10-55; A7: 3,5) · WT 0,65 m²</t>
        </is>
      </c>
      <c r="N19" s="130" t="inlineStr">
        <is>
          <t>–</t>
        </is>
      </c>
      <c r="O19" s="130" t="inlineStr">
        <is>
          <t>–</t>
        </is>
      </c>
      <c r="P19" s="119">
        <f>IFERROR($B$5/F19,"–")</f>
        <v/>
      </c>
      <c r="Q19" s="120">
        <f>IFERROR($D$5*$B$5/F19,"–")</f>
        <v/>
      </c>
    </row>
    <row r="20" ht="20" customHeight="1">
      <c r="A20" s="131" t="inlineStr">
        <is>
          <t>Bösch MCB270-L</t>
        </is>
      </c>
      <c r="B20" s="121" t="inlineStr">
        <is>
          <t>19.02.2028</t>
        </is>
      </c>
      <c r="C20" s="121" t="inlineStr">
        <is>
          <t>A++</t>
        </is>
      </c>
      <c r="D20" s="122" t="n">
        <v>260</v>
      </c>
      <c r="E20" s="123" t="n">
        <v>1.63</v>
      </c>
      <c r="F20" s="124">
        <f>E20*$B$4</f>
        <v/>
      </c>
      <c r="G20" s="125" t="n">
        <v>47</v>
      </c>
      <c r="H20" s="124" t="n">
        <v>0</v>
      </c>
      <c r="I20" s="121" t="inlineStr">
        <is>
          <t>R-290</t>
        </is>
      </c>
      <c r="J20" s="121" t="inlineStr">
        <is>
          <t>–</t>
        </is>
      </c>
      <c r="K20" s="121" t="inlineStr">
        <is>
          <t>–</t>
        </is>
      </c>
      <c r="L20" s="121" t="inlineStr">
        <is>
          <t>–</t>
        </is>
      </c>
      <c r="M20" s="131" t="inlineStr">
        <is>
          <t>GET-DB (ηwh_m × Faktor)</t>
        </is>
      </c>
      <c r="N20" s="131" t="inlineStr">
        <is>
          <t>–</t>
        </is>
      </c>
      <c r="O20" s="131" t="inlineStr">
        <is>
          <t>–</t>
        </is>
      </c>
      <c r="P20" s="126">
        <f>IFERROR($B$5/F20,"–")</f>
        <v/>
      </c>
      <c r="Q20" s="127">
        <f>IFERROR($D$5*$B$5/F20,"–")</f>
        <v/>
      </c>
    </row>
    <row r="21" ht="20" customHeight="1">
      <c r="A21" s="130" t="inlineStr">
        <is>
          <t>Bösch MCB270R-L</t>
        </is>
      </c>
      <c r="B21" s="114" t="inlineStr">
        <is>
          <t>19.02.2028</t>
        </is>
      </c>
      <c r="C21" s="114" t="inlineStr">
        <is>
          <t>A++</t>
        </is>
      </c>
      <c r="D21" s="115" t="n">
        <v>260</v>
      </c>
      <c r="E21" s="116" t="n">
        <v>1.63</v>
      </c>
      <c r="F21" s="117">
        <f>E21*$B$4</f>
        <v/>
      </c>
      <c r="G21" s="118" t="n">
        <v>47</v>
      </c>
      <c r="H21" s="117" t="n">
        <v>0</v>
      </c>
      <c r="I21" s="114" t="inlineStr">
        <is>
          <t>R-290</t>
        </is>
      </c>
      <c r="J21" s="114" t="inlineStr">
        <is>
          <t>–</t>
        </is>
      </c>
      <c r="K21" s="114" t="inlineStr">
        <is>
          <t>–</t>
        </is>
      </c>
      <c r="L21" s="114" t="inlineStr">
        <is>
          <t>–</t>
        </is>
      </c>
      <c r="M21" s="130" t="inlineStr">
        <is>
          <t>GET-DB (ηwh_m × Faktor)</t>
        </is>
      </c>
      <c r="N21" s="130" t="inlineStr">
        <is>
          <t>–</t>
        </is>
      </c>
      <c r="O21" s="130" t="inlineStr">
        <is>
          <t>–</t>
        </is>
      </c>
      <c r="P21" s="119">
        <f>IFERROR($B$5/F21,"–")</f>
        <v/>
      </c>
      <c r="Q21" s="120">
        <f>IFERROR($D$5*$B$5/F21,"–")</f>
        <v/>
      </c>
    </row>
    <row r="22" ht="20" customHeight="1">
      <c r="A22" s="131" t="inlineStr">
        <is>
          <t>Austria Email Explorer Evo 3 270L WT</t>
        </is>
      </c>
      <c r="B22" s="121" t="inlineStr">
        <is>
          <t>–</t>
        </is>
      </c>
      <c r="C22" s="121" t="inlineStr">
        <is>
          <t>A++</t>
        </is>
      </c>
      <c r="D22" s="122" t="n">
        <v>270</v>
      </c>
      <c r="E22" s="123" t="n">
        <v>1.62</v>
      </c>
      <c r="F22" s="124">
        <f>E22*$B$4</f>
        <v/>
      </c>
      <c r="G22" s="125" t="n">
        <v>47</v>
      </c>
      <c r="H22" s="121" t="inlineStr">
        <is>
          <t>–</t>
        </is>
      </c>
      <c r="I22" s="121" t="inlineStr">
        <is>
          <t>R-290</t>
        </is>
      </c>
      <c r="J22" s="129" t="n">
        <v>2119</v>
      </c>
      <c r="K22" s="121" t="inlineStr">
        <is>
          <t>ja (WT)</t>
        </is>
      </c>
      <c r="L22" s="122" t="n">
        <v>1200</v>
      </c>
      <c r="M22" s="131" t="inlineStr">
        <is>
          <t>HD24 (ηwh_m × Faktor) – Klasse aus ηwh 162 % bei Lastprofil XL (Shop nannte A) · WT 1,2 m²</t>
        </is>
      </c>
      <c r="N22" s="131" t="inlineStr">
        <is>
          <t>emailliert</t>
        </is>
      </c>
      <c r="O22" s="131" t="inlineStr">
        <is>
          <t>ACI-Hybrid (Titan/Mg)</t>
        </is>
      </c>
      <c r="P22" s="126">
        <f>IFERROR($B$5/F22,"–")</f>
        <v/>
      </c>
      <c r="Q22" s="127">
        <f>IFERROR($D$5*$B$5/F22,"–")</f>
        <v/>
      </c>
    </row>
    <row r="23" ht="20" customHeight="1">
      <c r="A23" s="130" t="inlineStr">
        <is>
          <t>Remko RBW 302 Pro-PV</t>
        </is>
      </c>
      <c r="B23" s="114" t="inlineStr">
        <is>
          <t>–</t>
        </is>
      </c>
      <c r="C23" s="114" t="inlineStr">
        <is>
          <t>A+</t>
        </is>
      </c>
      <c r="D23" s="115" t="n">
        <v>287</v>
      </c>
      <c r="E23" s="116" t="inlineStr">
        <is>
          <t>–</t>
        </is>
      </c>
      <c r="F23" s="117" t="n">
        <v>3.91</v>
      </c>
      <c r="G23" s="118" t="n">
        <v>53.8</v>
      </c>
      <c r="H23" s="114" t="inlineStr">
        <is>
          <t>–</t>
        </is>
      </c>
      <c r="I23" s="114" t="inlineStr">
        <is>
          <t>R-290</t>
        </is>
      </c>
      <c r="J23" s="128" t="n">
        <v>2549</v>
      </c>
      <c r="K23" s="114" t="inlineStr">
        <is>
          <t>nein</t>
        </is>
      </c>
      <c r="L23" s="115" t="n">
        <v>1500</v>
      </c>
      <c r="M23" s="130" t="inlineStr">
        <is>
          <t>badexo.de (COP A14/W53)</t>
        </is>
      </c>
      <c r="N23" s="130" t="inlineStr">
        <is>
          <t>emailliert</t>
        </is>
      </c>
      <c r="O23" s="130" t="inlineStr">
        <is>
          <t>–</t>
        </is>
      </c>
      <c r="P23" s="119">
        <f>IFERROR($B$5/F23,"–")</f>
        <v/>
      </c>
      <c r="Q23" s="120">
        <f>IFERROR($D$5*$B$5/F23,"–")</f>
        <v/>
      </c>
    </row>
    <row r="24" ht="20" customHeight="1">
      <c r="A24" s="131" t="inlineStr">
        <is>
          <t>Remko RBW 302 Pro-PV-S</t>
        </is>
      </c>
      <c r="B24" s="121" t="inlineStr">
        <is>
          <t>–</t>
        </is>
      </c>
      <c r="C24" s="121" t="inlineStr">
        <is>
          <t>A+</t>
        </is>
      </c>
      <c r="D24" s="122" t="n">
        <v>280</v>
      </c>
      <c r="E24" s="123" t="inlineStr">
        <is>
          <t>–</t>
        </is>
      </c>
      <c r="F24" s="124" t="n">
        <v>3.91</v>
      </c>
      <c r="G24" s="125" t="n">
        <v>53.8</v>
      </c>
      <c r="H24" s="121" t="inlineStr">
        <is>
          <t>–</t>
        </is>
      </c>
      <c r="I24" s="121" t="inlineStr">
        <is>
          <t>R-290</t>
        </is>
      </c>
      <c r="J24" s="129" t="n">
        <v>2658</v>
      </c>
      <c r="K24" s="121" t="inlineStr">
        <is>
          <t>ja (S)</t>
        </is>
      </c>
      <c r="L24" s="122" t="n">
        <v>1500</v>
      </c>
      <c r="M24" s="131" t="inlineStr">
        <is>
          <t>badexo.de (COP A14/W53) · WT 1,5 m²</t>
        </is>
      </c>
      <c r="N24" s="131" t="inlineStr">
        <is>
          <t>emailliert</t>
        </is>
      </c>
      <c r="O24" s="131" t="inlineStr">
        <is>
          <t>–</t>
        </is>
      </c>
      <c r="P24" s="126">
        <f>IFERROR($B$5/F24,"–")</f>
        <v/>
      </c>
      <c r="Q24" s="127">
        <f>IFERROR($D$5*$B$5/F24,"–")</f>
        <v/>
      </c>
    </row>
    <row r="25" ht="20" customHeight="1">
      <c r="A25" s="130" t="inlineStr">
        <is>
          <t>Kermi x-change aqua eco L</t>
        </is>
      </c>
      <c r="B25" s="114" t="inlineStr">
        <is>
          <t>–</t>
        </is>
      </c>
      <c r="C25" s="114" t="inlineStr">
        <is>
          <t>A+</t>
        </is>
      </c>
      <c r="D25" s="115" t="n">
        <v>185</v>
      </c>
      <c r="E25" s="116" t="inlineStr">
        <is>
          <t>–</t>
        </is>
      </c>
      <c r="F25" s="117" t="n">
        <v>3.91</v>
      </c>
      <c r="G25" s="118" t="n">
        <v>56</v>
      </c>
      <c r="H25" s="114" t="inlineStr">
        <is>
          <t>–</t>
        </is>
      </c>
      <c r="I25" s="114" t="inlineStr">
        <is>
          <t>R-290</t>
        </is>
      </c>
      <c r="J25" s="128" t="n">
        <v>1555</v>
      </c>
      <c r="K25" s="114" t="inlineStr">
        <is>
          <t>nein</t>
        </is>
      </c>
      <c r="L25" s="115" t="n">
        <v>2200</v>
      </c>
      <c r="M25" s="130" t="inlineStr">
        <is>
          <t>HD24 (COP A20/W10-53)</t>
        </is>
      </c>
      <c r="N25" s="130" t="inlineStr">
        <is>
          <t>emailliert</t>
        </is>
      </c>
      <c r="O25" s="130" t="inlineStr">
        <is>
          <t>–</t>
        </is>
      </c>
      <c r="P25" s="119">
        <f>IFERROR($B$5/F25,"–")</f>
        <v/>
      </c>
      <c r="Q25" s="120">
        <f>IFERROR($D$5*$B$5/F25,"–")</f>
        <v/>
      </c>
    </row>
    <row r="26" ht="20" customHeight="1">
      <c r="A26" s="131" t="inlineStr">
        <is>
          <t>Austria Email AG WPA 303 ECO 2</t>
        </is>
      </c>
      <c r="B26" s="121" t="inlineStr">
        <is>
          <t>14.07.2027</t>
        </is>
      </c>
      <c r="C26" s="121" t="inlineStr">
        <is>
          <t>A+</t>
        </is>
      </c>
      <c r="D26" s="122" t="n">
        <v>300</v>
      </c>
      <c r="E26" s="123" t="n">
        <v>1.56</v>
      </c>
      <c r="F26" s="124">
        <f>E26*$B$4</f>
        <v/>
      </c>
      <c r="G26" s="125" t="n">
        <v>57</v>
      </c>
      <c r="H26" s="124" t="n">
        <v>0</v>
      </c>
      <c r="I26" s="121" t="inlineStr">
        <is>
          <t>R-134a</t>
        </is>
      </c>
      <c r="J26" s="121" t="inlineStr">
        <is>
          <t>–</t>
        </is>
      </c>
      <c r="K26" s="121" t="inlineStr">
        <is>
          <t>–</t>
        </is>
      </c>
      <c r="L26" s="121" t="inlineStr">
        <is>
          <t>–</t>
        </is>
      </c>
      <c r="M26" s="131" t="inlineStr">
        <is>
          <t>GET-DB (ηwh_m × Faktor)</t>
        </is>
      </c>
      <c r="N26" s="131" t="inlineStr">
        <is>
          <t>emailliert</t>
        </is>
      </c>
      <c r="O26" s="131" t="inlineStr">
        <is>
          <t>–</t>
        </is>
      </c>
      <c r="P26" s="126">
        <f>IFERROR($B$5/F26,"–")</f>
        <v/>
      </c>
      <c r="Q26" s="127">
        <f>IFERROR($D$5*$B$5/F26,"–")</f>
        <v/>
      </c>
    </row>
    <row r="27" ht="20" customHeight="1">
      <c r="A27" s="130" t="inlineStr">
        <is>
          <t>LG Therma V WH27STR2.FA</t>
        </is>
      </c>
      <c r="B27" s="114" t="inlineStr">
        <is>
          <t>–</t>
        </is>
      </c>
      <c r="C27" s="114" t="inlineStr">
        <is>
          <t>A+</t>
        </is>
      </c>
      <c r="D27" s="115" t="n">
        <v>270</v>
      </c>
      <c r="E27" s="116" t="inlineStr">
        <is>
          <t>–</t>
        </is>
      </c>
      <c r="F27" s="117" t="n">
        <v>3.9</v>
      </c>
      <c r="G27" s="118" t="n">
        <v>55</v>
      </c>
      <c r="H27" s="114" t="inlineStr">
        <is>
          <t>–</t>
        </is>
      </c>
      <c r="I27" s="114" t="inlineStr">
        <is>
          <t>R-134a</t>
        </is>
      </c>
      <c r="J27" s="128" t="n">
        <v>1998</v>
      </c>
      <c r="K27" s="114" t="inlineStr">
        <is>
          <t>nein</t>
        </is>
      </c>
      <c r="L27" s="115" t="n">
        <v>2000</v>
      </c>
      <c r="M27" s="130" t="inlineStr">
        <is>
          <t>HD24 (COP A15/W35)</t>
        </is>
      </c>
      <c r="N27" s="130" t="inlineStr">
        <is>
          <t>–</t>
        </is>
      </c>
      <c r="O27" s="130" t="inlineStr">
        <is>
          <t>–</t>
        </is>
      </c>
      <c r="P27" s="119">
        <f>IFERROR($B$5/F27,"–")</f>
        <v/>
      </c>
      <c r="Q27" s="120">
        <f>IFERROR($D$5*$B$5/F27,"–")</f>
        <v/>
      </c>
    </row>
    <row r="28" ht="20" customHeight="1">
      <c r="A28" s="131" t="inlineStr">
        <is>
          <t>OCHSNER Europa 333 Genius</t>
        </is>
      </c>
      <c r="B28" s="121" t="inlineStr">
        <is>
          <t>18.12.2026</t>
        </is>
      </c>
      <c r="C28" s="121" t="inlineStr">
        <is>
          <t>A+</t>
        </is>
      </c>
      <c r="D28" s="122" t="n">
        <v>300</v>
      </c>
      <c r="E28" s="123" t="n">
        <v>1.55</v>
      </c>
      <c r="F28" s="124">
        <f>E28*$B$4</f>
        <v/>
      </c>
      <c r="G28" s="125" t="n">
        <v>57</v>
      </c>
      <c r="H28" s="124" t="n">
        <v>2.14</v>
      </c>
      <c r="I28" s="121" t="inlineStr">
        <is>
          <t>R-134a</t>
        </is>
      </c>
      <c r="J28" s="121" t="inlineStr">
        <is>
          <t>–</t>
        </is>
      </c>
      <c r="K28" s="121" t="inlineStr">
        <is>
          <t>–</t>
        </is>
      </c>
      <c r="L28" s="121" t="inlineStr">
        <is>
          <t>–</t>
        </is>
      </c>
      <c r="M28" s="131" t="inlineStr">
        <is>
          <t>GET-DB (ηwh_m × Faktor)</t>
        </is>
      </c>
      <c r="N28" s="131" t="inlineStr">
        <is>
          <t>–</t>
        </is>
      </c>
      <c r="O28" s="131" t="inlineStr">
        <is>
          <t>–</t>
        </is>
      </c>
      <c r="P28" s="126">
        <f>IFERROR($B$5/F28,"–")</f>
        <v/>
      </c>
      <c r="Q28" s="127">
        <f>IFERROR($D$5*$B$5/F28,"–")</f>
        <v/>
      </c>
    </row>
    <row r="29" ht="20" customHeight="1">
      <c r="A29" s="130" t="inlineStr">
        <is>
          <t>Vaillant aroSTOR plus VWL B 260/6</t>
        </is>
      </c>
      <c r="B29" s="114" t="inlineStr">
        <is>
          <t>–</t>
        </is>
      </c>
      <c r="C29" s="114" t="inlineStr">
        <is>
          <t>A+</t>
        </is>
      </c>
      <c r="D29" s="115" t="n">
        <v>260</v>
      </c>
      <c r="E29" s="116" t="inlineStr">
        <is>
          <t>–</t>
        </is>
      </c>
      <c r="F29" s="117" t="n">
        <v>3.86</v>
      </c>
      <c r="G29" s="118" t="n">
        <v>54</v>
      </c>
      <c r="H29" s="114" t="inlineStr">
        <is>
          <t>–</t>
        </is>
      </c>
      <c r="I29" s="114" t="inlineStr">
        <is>
          <t>R-290</t>
        </is>
      </c>
      <c r="J29" s="128" t="n">
        <v>2369</v>
      </c>
      <c r="K29" s="114" t="inlineStr">
        <is>
          <t>nein</t>
        </is>
      </c>
      <c r="L29" s="115" t="n">
        <v>1500</v>
      </c>
      <c r="M29" s="130" t="inlineStr">
        <is>
          <t>HD24 (COP A14/W55)</t>
        </is>
      </c>
      <c r="N29" s="130" t="inlineStr">
        <is>
          <t>emaillierter Stahl</t>
        </is>
      </c>
      <c r="O29" s="130" t="inlineStr">
        <is>
          <t>Magnesium-Schutzanode (von außen messbar)</t>
        </is>
      </c>
      <c r="P29" s="119">
        <f>IFERROR($B$5/F29,"–")</f>
        <v/>
      </c>
      <c r="Q29" s="120">
        <f>IFERROR($D$5*$B$5/F29,"–")</f>
        <v/>
      </c>
    </row>
    <row r="30" ht="20" customHeight="1">
      <c r="A30" s="131" t="inlineStr">
        <is>
          <t>LG Therma V WH27S.F5</t>
        </is>
      </c>
      <c r="B30" s="121" t="inlineStr">
        <is>
          <t>–</t>
        </is>
      </c>
      <c r="C30" s="121" t="inlineStr">
        <is>
          <t>A+</t>
        </is>
      </c>
      <c r="D30" s="122" t="n">
        <v>270</v>
      </c>
      <c r="E30" s="123" t="inlineStr">
        <is>
          <t>–</t>
        </is>
      </c>
      <c r="F30" s="124" t="n">
        <v>3.85</v>
      </c>
      <c r="G30" s="125" t="n">
        <v>55</v>
      </c>
      <c r="H30" s="121" t="inlineStr">
        <is>
          <t>–</t>
        </is>
      </c>
      <c r="I30" s="121" t="inlineStr">
        <is>
          <t>R-134a</t>
        </is>
      </c>
      <c r="J30" s="129" t="n">
        <v>1998</v>
      </c>
      <c r="K30" s="121" t="inlineStr">
        <is>
          <t>nein</t>
        </is>
      </c>
      <c r="L30" s="122" t="n">
        <v>2000</v>
      </c>
      <c r="M30" s="131" t="inlineStr">
        <is>
          <t>HD24 (COP 15 °C)</t>
        </is>
      </c>
      <c r="N30" s="131" t="inlineStr">
        <is>
          <t>–</t>
        </is>
      </c>
      <c r="O30" s="131" t="inlineStr">
        <is>
          <t>–</t>
        </is>
      </c>
      <c r="P30" s="126">
        <f>IFERROR($B$5/F30,"–")</f>
        <v/>
      </c>
      <c r="Q30" s="127">
        <f>IFERROR($D$5*$B$5/F30,"–")</f>
        <v/>
      </c>
    </row>
    <row r="31" ht="20" customHeight="1">
      <c r="A31" s="130" t="inlineStr">
        <is>
          <t>Kronoterm S MAX WP4 LF-502</t>
        </is>
      </c>
      <c r="B31" s="114" t="inlineStr">
        <is>
          <t>–</t>
        </is>
      </c>
      <c r="C31" s="114" t="inlineStr">
        <is>
          <t>A+</t>
        </is>
      </c>
      <c r="D31" s="115" t="n">
        <v>450</v>
      </c>
      <c r="E31" s="116" t="inlineStr">
        <is>
          <t>–</t>
        </is>
      </c>
      <c r="F31" s="117" t="n">
        <v>3.85</v>
      </c>
      <c r="G31" s="114" t="inlineStr">
        <is>
          <t>–</t>
        </is>
      </c>
      <c r="H31" s="114" t="inlineStr">
        <is>
          <t>–</t>
        </is>
      </c>
      <c r="I31" s="114" t="inlineStr">
        <is>
          <t>–</t>
        </is>
      </c>
      <c r="J31" s="114" t="inlineStr">
        <is>
          <t>–</t>
        </is>
      </c>
      <c r="K31" s="114" t="inlineStr">
        <is>
          <t>–</t>
        </is>
      </c>
      <c r="L31" s="115" t="n">
        <v>4000</v>
      </c>
      <c r="M31" s="130" t="inlineStr">
        <is>
          <t>Kronoterm Prospekt (COP A20/W10-55, XXL)</t>
        </is>
      </c>
      <c r="N31" s="130" t="inlineStr">
        <is>
          <t>–</t>
        </is>
      </c>
      <c r="O31" s="130" t="inlineStr">
        <is>
          <t>–</t>
        </is>
      </c>
      <c r="P31" s="119">
        <f>IFERROR($B$5/F31,"–")</f>
        <v/>
      </c>
      <c r="Q31" s="120">
        <f>IFERROR($D$5*$B$5/F31,"–")</f>
        <v/>
      </c>
    </row>
    <row r="32" ht="20" customHeight="1">
      <c r="A32" s="131" t="inlineStr">
        <is>
          <t>Remeha Azorra Ace 250 H</t>
        </is>
      </c>
      <c r="B32" s="121" t="inlineStr">
        <is>
          <t>–</t>
        </is>
      </c>
      <c r="C32" s="121" t="inlineStr">
        <is>
          <t>A+</t>
        </is>
      </c>
      <c r="D32" s="122" t="n">
        <v>243</v>
      </c>
      <c r="E32" s="123" t="inlineStr">
        <is>
          <t>–</t>
        </is>
      </c>
      <c r="F32" s="124" t="n">
        <v>3.84</v>
      </c>
      <c r="G32" s="125" t="n">
        <v>49</v>
      </c>
      <c r="H32" s="121" t="inlineStr">
        <is>
          <t>–</t>
        </is>
      </c>
      <c r="I32" s="121" t="inlineStr">
        <is>
          <t>R-290</t>
        </is>
      </c>
      <c r="J32" s="129" t="n">
        <v>2524</v>
      </c>
      <c r="K32" s="121" t="inlineStr">
        <is>
          <t>ja (H)</t>
        </is>
      </c>
      <c r="L32" s="122" t="n">
        <v>1800</v>
      </c>
      <c r="M32" s="131" t="inlineStr">
        <is>
          <t>unidomo.de (COP A20/Raumluft, XL; A7: 3,30) · WT 0,93 m²</t>
        </is>
      </c>
      <c r="N32" s="131" t="inlineStr">
        <is>
          <t>emailliert (Keramikbeschichtung)</t>
        </is>
      </c>
      <c r="O32" s="131" t="inlineStr">
        <is>
          <t>Titan-Kathodenschutzanode</t>
        </is>
      </c>
      <c r="P32" s="126">
        <f>IFERROR($B$5/F32,"–")</f>
        <v/>
      </c>
      <c r="Q32" s="127">
        <f>IFERROR($D$5*$B$5/F32,"–")</f>
        <v/>
      </c>
    </row>
    <row r="33" ht="20" customHeight="1">
      <c r="A33" s="130" t="inlineStr">
        <is>
          <t>Tesy AquaThermica Pro HPWH 4.11 FS 260 U 02 (306179)</t>
        </is>
      </c>
      <c r="B33" s="114" t="inlineStr">
        <is>
          <t>–</t>
        </is>
      </c>
      <c r="C33" s="114" t="inlineStr">
        <is>
          <t>A+</t>
        </is>
      </c>
      <c r="D33" s="115" t="n">
        <v>260</v>
      </c>
      <c r="E33" s="116" t="inlineStr">
        <is>
          <t>–</t>
        </is>
      </c>
      <c r="F33" s="117" t="n">
        <v>3.8</v>
      </c>
      <c r="G33" s="114" t="inlineStr">
        <is>
          <t>–</t>
        </is>
      </c>
      <c r="H33" s="114" t="inlineStr">
        <is>
          <t>–</t>
        </is>
      </c>
      <c r="I33" s="114" t="inlineStr">
        <is>
          <t>R-290</t>
        </is>
      </c>
      <c r="J33" s="128" t="n">
        <v>1569</v>
      </c>
      <c r="K33" s="114" t="inlineStr">
        <is>
          <t>nein</t>
        </is>
      </c>
      <c r="L33" s="115" t="n">
        <v>1500</v>
      </c>
      <c r="M33" s="130" t="inlineStr">
        <is>
          <t>HD24 (CoP DHW)</t>
        </is>
      </c>
      <c r="N33" s="130" t="inlineStr">
        <is>
          <t>emailliert</t>
        </is>
      </c>
      <c r="O33" s="130" t="inlineStr">
        <is>
          <t>Magnesiumanode (Ø 33 × 400 mm)</t>
        </is>
      </c>
      <c r="P33" s="119">
        <f>IFERROR($B$5/F33,"–")</f>
        <v/>
      </c>
      <c r="Q33" s="120">
        <f>IFERROR($D$5*$B$5/F33,"–")</f>
        <v/>
      </c>
    </row>
    <row r="34" ht="20" customHeight="1">
      <c r="A34" s="131" t="inlineStr">
        <is>
          <t>Tesy AquaThermica Pro HPWH 4.11 FS 260 U 02 S (306267)</t>
        </is>
      </c>
      <c r="B34" s="121" t="inlineStr">
        <is>
          <t>–</t>
        </is>
      </c>
      <c r="C34" s="121" t="inlineStr">
        <is>
          <t>A+</t>
        </is>
      </c>
      <c r="D34" s="122" t="n">
        <v>251</v>
      </c>
      <c r="E34" s="123" t="inlineStr">
        <is>
          <t>–</t>
        </is>
      </c>
      <c r="F34" s="124" t="n">
        <v>3.8</v>
      </c>
      <c r="G34" s="121" t="inlineStr">
        <is>
          <t>–</t>
        </is>
      </c>
      <c r="H34" s="121" t="inlineStr">
        <is>
          <t>–</t>
        </is>
      </c>
      <c r="I34" s="121" t="inlineStr">
        <is>
          <t>R-290</t>
        </is>
      </c>
      <c r="J34" s="129" t="n">
        <v>1589</v>
      </c>
      <c r="K34" s="121" t="inlineStr">
        <is>
          <t>ja (S)</t>
        </is>
      </c>
      <c r="L34" s="122" t="n">
        <v>1500</v>
      </c>
      <c r="M34" s="131" t="inlineStr">
        <is>
          <t>HD24 (CoP DHW) · WT 1,05 m²</t>
        </is>
      </c>
      <c r="N34" s="131" t="inlineStr">
        <is>
          <t>emailliert</t>
        </is>
      </c>
      <c r="O34" s="131" t="inlineStr">
        <is>
          <t>Magnesiumanode (Ø 33 × 400 mm)</t>
        </is>
      </c>
      <c r="P34" s="126">
        <f>IFERROR($B$5/F34,"–")</f>
        <v/>
      </c>
      <c r="Q34" s="127">
        <f>IFERROR($D$5*$B$5/F34,"–")</f>
        <v/>
      </c>
    </row>
    <row r="35" ht="20" customHeight="1">
      <c r="A35" s="130" t="inlineStr">
        <is>
          <t>ELCO AEROTOP DHW.3 200</t>
        </is>
      </c>
      <c r="B35" s="114" t="inlineStr">
        <is>
          <t>–</t>
        </is>
      </c>
      <c r="C35" s="114" t="inlineStr">
        <is>
          <t>A+</t>
        </is>
      </c>
      <c r="D35" s="115" t="n">
        <v>200</v>
      </c>
      <c r="E35" s="116" t="inlineStr">
        <is>
          <t>–</t>
        </is>
      </c>
      <c r="F35" s="117" t="n">
        <v>3.8</v>
      </c>
      <c r="G35" s="118" t="n">
        <v>48</v>
      </c>
      <c r="H35" s="114" t="inlineStr">
        <is>
          <t>–</t>
        </is>
      </c>
      <c r="I35" s="114" t="inlineStr">
        <is>
          <t>R-290</t>
        </is>
      </c>
      <c r="J35" s="114" t="inlineStr">
        <is>
          <t>–</t>
        </is>
      </c>
      <c r="K35" s="114" t="inlineStr">
        <is>
          <t>nein</t>
        </is>
      </c>
      <c r="L35" s="114" t="inlineStr">
        <is>
          <t>–</t>
        </is>
      </c>
      <c r="M35" s="130" t="inlineStr">
        <is>
          <t>elco.de (COP A20/W10-55; A7: 3,4)</t>
        </is>
      </c>
      <c r="N35" s="130" t="inlineStr">
        <is>
          <t>–</t>
        </is>
      </c>
      <c r="O35" s="130" t="inlineStr">
        <is>
          <t>–</t>
        </is>
      </c>
      <c r="P35" s="119">
        <f>IFERROR($B$5/F35,"–")</f>
        <v/>
      </c>
      <c r="Q35" s="120">
        <f>IFERROR($D$5*$B$5/F35,"–")</f>
        <v/>
      </c>
    </row>
    <row r="36" ht="20" customHeight="1">
      <c r="A36" s="131" t="inlineStr">
        <is>
          <t>Panasonic Aquarea P-DHW260AE5</t>
        </is>
      </c>
      <c r="B36" s="121" t="inlineStr">
        <is>
          <t>–</t>
        </is>
      </c>
      <c r="C36" s="121" t="inlineStr">
        <is>
          <t>A+</t>
        </is>
      </c>
      <c r="D36" s="122" t="n">
        <v>260</v>
      </c>
      <c r="E36" s="123" t="n">
        <v>1.5</v>
      </c>
      <c r="F36" s="124">
        <f>E36*$B$4</f>
        <v/>
      </c>
      <c r="G36" s="125" t="n">
        <v>50</v>
      </c>
      <c r="H36" s="121" t="inlineStr">
        <is>
          <t>–</t>
        </is>
      </c>
      <c r="I36" s="121" t="inlineStr">
        <is>
          <t>R-290</t>
        </is>
      </c>
      <c r="J36" s="129" t="n">
        <v>1809</v>
      </c>
      <c r="K36" s="121" t="inlineStr">
        <is>
          <t>nein</t>
        </is>
      </c>
      <c r="L36" s="122" t="n">
        <v>1500</v>
      </c>
      <c r="M36" s="131" t="inlineStr">
        <is>
          <t>HD24 (ηwh_m × Faktor)</t>
        </is>
      </c>
      <c r="N36" s="131" t="inlineStr">
        <is>
          <t>emailliert</t>
        </is>
      </c>
      <c r="O36" s="131" t="inlineStr">
        <is>
          <t>Magnesiumanode (Trockenkontrolle)</t>
        </is>
      </c>
      <c r="P36" s="126">
        <f>IFERROR($B$5/F36,"–")</f>
        <v/>
      </c>
      <c r="Q36" s="127">
        <f>IFERROR($D$5*$B$5/F36,"–")</f>
        <v/>
      </c>
    </row>
    <row r="37" ht="20" customHeight="1">
      <c r="A37" s="130" t="inlineStr">
        <is>
          <t>Austria Email Explorer Evo 3 200L</t>
        </is>
      </c>
      <c r="B37" s="114" t="inlineStr">
        <is>
          <t>–</t>
        </is>
      </c>
      <c r="C37" s="114" t="inlineStr">
        <is>
          <t>A+</t>
        </is>
      </c>
      <c r="D37" s="115" t="n">
        <v>200</v>
      </c>
      <c r="E37" s="116" t="n">
        <v>1.5</v>
      </c>
      <c r="F37" s="117">
        <f>E37*$B$4</f>
        <v/>
      </c>
      <c r="G37" s="118" t="n">
        <v>47</v>
      </c>
      <c r="H37" s="114" t="inlineStr">
        <is>
          <t>–</t>
        </is>
      </c>
      <c r="I37" s="114" t="inlineStr">
        <is>
          <t>R-290</t>
        </is>
      </c>
      <c r="J37" s="128" t="n">
        <v>1949</v>
      </c>
      <c r="K37" s="114" t="inlineStr">
        <is>
          <t>nein</t>
        </is>
      </c>
      <c r="L37" s="115" t="n">
        <v>1200</v>
      </c>
      <c r="M37" s="130" t="inlineStr">
        <is>
          <t>HD24 (ηwh_m × Faktor)</t>
        </is>
      </c>
      <c r="N37" s="130" t="inlineStr">
        <is>
          <t>emailliert</t>
        </is>
      </c>
      <c r="O37" s="130" t="inlineStr">
        <is>
          <t>ACI-Hybrid (Titan/Mg)</t>
        </is>
      </c>
      <c r="P37" s="119">
        <f>IFERROR($B$5/F37,"–")</f>
        <v/>
      </c>
      <c r="Q37" s="120">
        <f>IFERROR($D$5*$B$5/F37,"–")</f>
        <v/>
      </c>
    </row>
    <row r="38" ht="20" customHeight="1">
      <c r="A38" s="131" t="inlineStr">
        <is>
          <t>Hoval CombiVal WPR (300)</t>
        </is>
      </c>
      <c r="B38" s="121" t="inlineStr">
        <is>
          <t>07.04.2029</t>
        </is>
      </c>
      <c r="C38" s="121" t="inlineStr">
        <is>
          <t>A+</t>
        </is>
      </c>
      <c r="D38" s="122" t="n">
        <v>258</v>
      </c>
      <c r="E38" s="123" t="n">
        <v>1.49</v>
      </c>
      <c r="F38" s="124">
        <f>E38*$B$4</f>
        <v/>
      </c>
      <c r="G38" s="125" t="n">
        <v>60</v>
      </c>
      <c r="H38" s="124" t="n">
        <v>0</v>
      </c>
      <c r="I38" s="121" t="inlineStr">
        <is>
          <t>R-290</t>
        </is>
      </c>
      <c r="J38" s="121" t="inlineStr">
        <is>
          <t>–</t>
        </is>
      </c>
      <c r="K38" s="121" t="inlineStr">
        <is>
          <t>–</t>
        </is>
      </c>
      <c r="L38" s="121" t="inlineStr">
        <is>
          <t>–</t>
        </is>
      </c>
      <c r="M38" s="131" t="inlineStr">
        <is>
          <t>GET-DB (ηwh_m × Faktor)</t>
        </is>
      </c>
      <c r="N38" s="131" t="inlineStr">
        <is>
          <t>–</t>
        </is>
      </c>
      <c r="O38" s="131" t="inlineStr">
        <is>
          <t>–</t>
        </is>
      </c>
      <c r="P38" s="126">
        <f>IFERROR($B$5/F38,"–")</f>
        <v/>
      </c>
      <c r="Q38" s="127">
        <f>IFERROR($D$5*$B$5/F38,"–")</f>
        <v/>
      </c>
    </row>
    <row r="39" ht="20" customHeight="1">
      <c r="A39" s="130" t="inlineStr">
        <is>
          <t>Panasonic Aquarea P-DHW200AE5</t>
        </is>
      </c>
      <c r="B39" s="114" t="inlineStr">
        <is>
          <t>–</t>
        </is>
      </c>
      <c r="C39" s="114" t="inlineStr">
        <is>
          <t>A+</t>
        </is>
      </c>
      <c r="D39" s="115" t="n">
        <v>202</v>
      </c>
      <c r="E39" s="116" t="n">
        <v>1.49</v>
      </c>
      <c r="F39" s="117">
        <f>E39*$B$4</f>
        <v/>
      </c>
      <c r="G39" s="118" t="n">
        <v>50</v>
      </c>
      <c r="H39" s="114" t="inlineStr">
        <is>
          <t>–</t>
        </is>
      </c>
      <c r="I39" s="114" t="inlineStr">
        <is>
          <t>R-290</t>
        </is>
      </c>
      <c r="J39" s="128" t="n">
        <v>1898</v>
      </c>
      <c r="K39" s="114" t="inlineStr">
        <is>
          <t>nein</t>
        </is>
      </c>
      <c r="L39" s="115" t="n">
        <v>1500</v>
      </c>
      <c r="M39" s="130" t="inlineStr">
        <is>
          <t>HD24 (ηwh_m × Faktor)</t>
        </is>
      </c>
      <c r="N39" s="130" t="inlineStr">
        <is>
          <t>emailliert</t>
        </is>
      </c>
      <c r="O39" s="130" t="inlineStr">
        <is>
          <t>Magnesiumanode (Trockenkontrolle)</t>
        </is>
      </c>
      <c r="P39" s="119">
        <f>IFERROR($B$5/F39,"–")</f>
        <v/>
      </c>
      <c r="Q39" s="120">
        <f>IFERROR($D$5*$B$5/F39,"–")</f>
        <v/>
      </c>
    </row>
    <row r="40" ht="20" customHeight="1">
      <c r="A40" s="131" t="inlineStr">
        <is>
          <t>KWB EmpaAir 220 KWB EmpaAir 220</t>
        </is>
      </c>
      <c r="B40" s="121" t="inlineStr">
        <is>
          <t>18.11.2027</t>
        </is>
      </c>
      <c r="C40" s="121" t="inlineStr">
        <is>
          <t>A+</t>
        </is>
      </c>
      <c r="D40" s="122" t="n">
        <v>220</v>
      </c>
      <c r="E40" s="123" t="n">
        <v>1.48</v>
      </c>
      <c r="F40" s="124">
        <f>E40*$B$4</f>
        <v/>
      </c>
      <c r="G40" s="125" t="n">
        <v>60</v>
      </c>
      <c r="H40" s="124" t="n">
        <v>0</v>
      </c>
      <c r="I40" s="121" t="inlineStr">
        <is>
          <t>R-134a</t>
        </is>
      </c>
      <c r="J40" s="121" t="inlineStr">
        <is>
          <t>–</t>
        </is>
      </c>
      <c r="K40" s="121" t="inlineStr">
        <is>
          <t>–</t>
        </is>
      </c>
      <c r="L40" s="121" t="inlineStr">
        <is>
          <t>–</t>
        </is>
      </c>
      <c r="M40" s="131" t="inlineStr">
        <is>
          <t>GET-DB (ηwh_m × Faktor)</t>
        </is>
      </c>
      <c r="N40" s="131" t="inlineStr">
        <is>
          <t>–</t>
        </is>
      </c>
      <c r="O40" s="131" t="inlineStr">
        <is>
          <t>–</t>
        </is>
      </c>
      <c r="P40" s="126">
        <f>IFERROR($B$5/F40,"–")</f>
        <v/>
      </c>
      <c r="Q40" s="127">
        <f>IFERROR($D$5*$B$5/F40,"–")</f>
        <v/>
      </c>
    </row>
    <row r="41" ht="20" customHeight="1">
      <c r="A41" s="130" t="inlineStr">
        <is>
          <t>Stiebel Eltron WWK 220 electronic</t>
        </is>
      </c>
      <c r="B41" s="114" t="inlineStr">
        <is>
          <t>18.11.2027</t>
        </is>
      </c>
      <c r="C41" s="114" t="inlineStr">
        <is>
          <t>A+</t>
        </is>
      </c>
      <c r="D41" s="115" t="n">
        <v>220</v>
      </c>
      <c r="E41" s="116" t="n">
        <v>1.48</v>
      </c>
      <c r="F41" s="117">
        <f>E41*$B$4</f>
        <v/>
      </c>
      <c r="G41" s="118" t="n">
        <v>60</v>
      </c>
      <c r="H41" s="117" t="n">
        <v>0</v>
      </c>
      <c r="I41" s="114" t="inlineStr">
        <is>
          <t>R-134a</t>
        </is>
      </c>
      <c r="J41" s="114" t="inlineStr">
        <is>
          <t>–</t>
        </is>
      </c>
      <c r="K41" s="114" t="inlineStr">
        <is>
          <t>–</t>
        </is>
      </c>
      <c r="L41" s="114" t="inlineStr">
        <is>
          <t>–</t>
        </is>
      </c>
      <c r="M41" s="130" t="inlineStr">
        <is>
          <t>GET-DB (ηwh_m × Faktor)</t>
        </is>
      </c>
      <c r="N41" s="130" t="inlineStr">
        <is>
          <t>emailliert (Spezialemaillierung)</t>
        </is>
      </c>
      <c r="O41" s="130" t="inlineStr">
        <is>
          <t>Fremdstromanode</t>
        </is>
      </c>
      <c r="P41" s="119">
        <f>IFERROR($B$5/F41,"–")</f>
        <v/>
      </c>
      <c r="Q41" s="120">
        <f>IFERROR($D$5*$B$5/F41,"–")</f>
        <v/>
      </c>
    </row>
    <row r="42" ht="20" customHeight="1">
      <c r="A42" s="131" t="inlineStr">
        <is>
          <t>Panasonic Aquarea P-DHW200CAE5</t>
        </is>
      </c>
      <c r="B42" s="121" t="inlineStr">
        <is>
          <t>–</t>
        </is>
      </c>
      <c r="C42" s="121" t="inlineStr">
        <is>
          <t>A+</t>
        </is>
      </c>
      <c r="D42" s="122" t="n">
        <v>194</v>
      </c>
      <c r="E42" s="123" t="n">
        <v>1.48</v>
      </c>
      <c r="F42" s="124">
        <f>E42*$B$4</f>
        <v/>
      </c>
      <c r="G42" s="125" t="n">
        <v>50</v>
      </c>
      <c r="H42" s="121" t="inlineStr">
        <is>
          <t>–</t>
        </is>
      </c>
      <c r="I42" s="121" t="inlineStr">
        <is>
          <t>R-290</t>
        </is>
      </c>
      <c r="J42" s="129" t="n">
        <v>1889</v>
      </c>
      <c r="K42" s="121" t="inlineStr">
        <is>
          <t>ja (C)</t>
        </is>
      </c>
      <c r="L42" s="122" t="n">
        <v>1500</v>
      </c>
      <c r="M42" s="131" t="inlineStr">
        <is>
          <t>HD24 (ηwh_m × Faktor)</t>
        </is>
      </c>
      <c r="N42" s="131" t="inlineStr">
        <is>
          <t>emailliert</t>
        </is>
      </c>
      <c r="O42" s="131" t="inlineStr">
        <is>
          <t>Magnesiumanode (Trockenkontrolle)</t>
        </is>
      </c>
      <c r="P42" s="126">
        <f>IFERROR($B$5/F42,"–")</f>
        <v/>
      </c>
      <c r="Q42" s="127">
        <f>IFERROR($D$5*$B$5/F42,"–")</f>
        <v/>
      </c>
    </row>
    <row r="43" ht="20" customHeight="1">
      <c r="A43" s="130" t="inlineStr">
        <is>
          <t>Panasonic Aquarea P-DHW260CAE5</t>
        </is>
      </c>
      <c r="B43" s="114" t="inlineStr">
        <is>
          <t>–</t>
        </is>
      </c>
      <c r="C43" s="114" t="inlineStr">
        <is>
          <t>A+</t>
        </is>
      </c>
      <c r="D43" s="115" t="n">
        <v>251</v>
      </c>
      <c r="E43" s="116" t="n">
        <v>1.48</v>
      </c>
      <c r="F43" s="117">
        <f>E43*$B$4</f>
        <v/>
      </c>
      <c r="G43" s="118" t="n">
        <v>50</v>
      </c>
      <c r="H43" s="114" t="inlineStr">
        <is>
          <t>–</t>
        </is>
      </c>
      <c r="I43" s="114" t="inlineStr">
        <is>
          <t>R-290</t>
        </is>
      </c>
      <c r="J43" s="128" t="n">
        <v>1955</v>
      </c>
      <c r="K43" s="114" t="inlineStr">
        <is>
          <t>ja (C)</t>
        </is>
      </c>
      <c r="L43" s="115" t="n">
        <v>1500</v>
      </c>
      <c r="M43" s="130" t="inlineStr">
        <is>
          <t>HD24 (ηwh_m × Faktor)</t>
        </is>
      </c>
      <c r="N43" s="130" t="inlineStr">
        <is>
          <t>emailliert</t>
        </is>
      </c>
      <c r="O43" s="130" t="inlineStr">
        <is>
          <t>Magnesiumanode (Trockenkontrolle)</t>
        </is>
      </c>
      <c r="P43" s="119">
        <f>IFERROR($B$5/F43,"–")</f>
        <v/>
      </c>
      <c r="Q43" s="120">
        <f>IFERROR($D$5*$B$5/F43,"–")</f>
        <v/>
      </c>
    </row>
    <row r="44" ht="20" customHeight="1">
      <c r="A44" s="131" t="inlineStr">
        <is>
          <t>Styleboiler Futura Eco X 200</t>
        </is>
      </c>
      <c r="B44" s="121" t="inlineStr">
        <is>
          <t>–</t>
        </is>
      </c>
      <c r="C44" s="121" t="inlineStr">
        <is>
          <t>A+</t>
        </is>
      </c>
      <c r="D44" s="122" t="n">
        <v>207</v>
      </c>
      <c r="E44" s="123" t="inlineStr">
        <is>
          <t>–</t>
        </is>
      </c>
      <c r="F44" s="124" t="n">
        <v>3.69</v>
      </c>
      <c r="G44" s="125" t="n">
        <v>51</v>
      </c>
      <c r="H44" s="121" t="inlineStr">
        <is>
          <t>–</t>
        </is>
      </c>
      <c r="I44" s="121" t="inlineStr">
        <is>
          <t>R-290</t>
        </is>
      </c>
      <c r="J44" s="129" t="n">
        <v>1579</v>
      </c>
      <c r="K44" s="121" t="inlineStr">
        <is>
          <t>nein</t>
        </is>
      </c>
      <c r="L44" s="122" t="n">
        <v>1500</v>
      </c>
      <c r="M44" s="131" t="inlineStr">
        <is>
          <t>HD24 (COP Hersteller)</t>
        </is>
      </c>
      <c r="N44" s="131" t="inlineStr">
        <is>
          <t>–</t>
        </is>
      </c>
      <c r="O44" s="131" t="inlineStr">
        <is>
          <t>–</t>
        </is>
      </c>
      <c r="P44" s="126">
        <f>IFERROR($B$5/F44,"–")</f>
        <v/>
      </c>
      <c r="Q44" s="127">
        <f>IFERROR($D$5*$B$5/F44,"–")</f>
        <v/>
      </c>
    </row>
    <row r="45" ht="20" customHeight="1">
      <c r="A45" s="130" t="inlineStr">
        <is>
          <t>Styleboiler Futura Eco X 1 WT 200 W</t>
        </is>
      </c>
      <c r="B45" s="114" t="inlineStr">
        <is>
          <t>–</t>
        </is>
      </c>
      <c r="C45" s="114" t="inlineStr">
        <is>
          <t>A+</t>
        </is>
      </c>
      <c r="D45" s="115" t="n">
        <v>207</v>
      </c>
      <c r="E45" s="116" t="inlineStr">
        <is>
          <t>–</t>
        </is>
      </c>
      <c r="F45" s="117" t="n">
        <v>3.69</v>
      </c>
      <c r="G45" s="118" t="n">
        <v>51</v>
      </c>
      <c r="H45" s="114" t="inlineStr">
        <is>
          <t>–</t>
        </is>
      </c>
      <c r="I45" s="114" t="inlineStr">
        <is>
          <t>R-290</t>
        </is>
      </c>
      <c r="J45" s="128" t="n">
        <v>1659</v>
      </c>
      <c r="K45" s="114" t="inlineStr">
        <is>
          <t>ja (WT)</t>
        </is>
      </c>
      <c r="L45" s="115" t="n">
        <v>1500</v>
      </c>
      <c r="M45" s="130" t="inlineStr">
        <is>
          <t>HD24 (COP Hersteller)</t>
        </is>
      </c>
      <c r="N45" s="130" t="inlineStr">
        <is>
          <t>–</t>
        </is>
      </c>
      <c r="O45" s="130" t="inlineStr">
        <is>
          <t>–</t>
        </is>
      </c>
      <c r="P45" s="119">
        <f>IFERROR($B$5/F45,"–")</f>
        <v/>
      </c>
      <c r="Q45" s="120">
        <f>IFERROR($D$5*$B$5/F45,"–")</f>
        <v/>
      </c>
    </row>
    <row r="46" ht="20" customHeight="1">
      <c r="A46" s="131" t="inlineStr">
        <is>
          <t>Austria Email WPA 450 ECO</t>
        </is>
      </c>
      <c r="B46" s="121" t="inlineStr">
        <is>
          <t>–</t>
        </is>
      </c>
      <c r="C46" s="121" t="inlineStr">
        <is>
          <t>A+</t>
        </is>
      </c>
      <c r="D46" s="122" t="n">
        <v>450</v>
      </c>
      <c r="E46" s="123" t="n">
        <v>1.47</v>
      </c>
      <c r="F46" s="124">
        <f>E46*$B$4</f>
        <v/>
      </c>
      <c r="G46" s="125" t="n">
        <v>60</v>
      </c>
      <c r="H46" s="124" t="n">
        <v>2.71</v>
      </c>
      <c r="I46" s="121" t="inlineStr">
        <is>
          <t>R-134a</t>
        </is>
      </c>
      <c r="J46" s="121" t="inlineStr">
        <is>
          <t>–</t>
        </is>
      </c>
      <c r="K46" s="121" t="inlineStr">
        <is>
          <t>–</t>
        </is>
      </c>
      <c r="L46" s="121" t="inlineStr">
        <is>
          <t>–</t>
        </is>
      </c>
      <c r="M46" s="131" t="inlineStr">
        <is>
          <t>GET-DB (ηwh_m × Faktor)</t>
        </is>
      </c>
      <c r="N46" s="131" t="inlineStr">
        <is>
          <t>emailliert</t>
        </is>
      </c>
      <c r="O46" s="131" t="inlineStr">
        <is>
          <t>–</t>
        </is>
      </c>
      <c r="P46" s="126">
        <f>IFERROR($B$5/F46,"–")</f>
        <v/>
      </c>
      <c r="Q46" s="127">
        <f>IFERROR($D$5*$B$5/F46,"–")</f>
        <v/>
      </c>
    </row>
    <row r="47" ht="20" customHeight="1">
      <c r="A47" s="130" t="inlineStr">
        <is>
          <t>Wolf FHS-280-S</t>
        </is>
      </c>
      <c r="B47" s="114" t="inlineStr">
        <is>
          <t>–</t>
        </is>
      </c>
      <c r="C47" s="114" t="inlineStr">
        <is>
          <t>A+</t>
        </is>
      </c>
      <c r="D47" s="115" t="n">
        <v>270</v>
      </c>
      <c r="E47" s="116" t="inlineStr">
        <is>
          <t>–</t>
        </is>
      </c>
      <c r="F47" s="117" t="n">
        <v>3.67</v>
      </c>
      <c r="G47" s="118" t="n">
        <v>58</v>
      </c>
      <c r="H47" s="114" t="inlineStr">
        <is>
          <t>–</t>
        </is>
      </c>
      <c r="I47" s="114" t="inlineStr">
        <is>
          <t>R-290</t>
        </is>
      </c>
      <c r="J47" s="128" t="n">
        <v>2555</v>
      </c>
      <c r="K47" s="114" t="inlineStr">
        <is>
          <t>nein</t>
        </is>
      </c>
      <c r="L47" s="115" t="n">
        <v>2000</v>
      </c>
      <c r="M47" s="130" t="inlineStr">
        <is>
          <t>HD24 (COP L20/W10-55) – Kältemittel lt. HD24 R290, Vorgängerserie R134a</t>
        </is>
      </c>
      <c r="N47" s="130" t="inlineStr">
        <is>
          <t>emaillierter Stahl</t>
        </is>
      </c>
      <c r="O47" s="130" t="inlineStr">
        <is>
          <t>Magnesiumanode</t>
        </is>
      </c>
      <c r="P47" s="119">
        <f>IFERROR($B$5/F47,"–")</f>
        <v/>
      </c>
      <c r="Q47" s="120">
        <f>IFERROR($D$5*$B$5/F47,"–")</f>
        <v/>
      </c>
    </row>
    <row r="48" ht="20" customHeight="1">
      <c r="A48" s="131" t="inlineStr">
        <is>
          <t>Vaillant aroSTOR plus VWL B 200/6</t>
        </is>
      </c>
      <c r="B48" s="121" t="inlineStr">
        <is>
          <t>–</t>
        </is>
      </c>
      <c r="C48" s="121" t="inlineStr">
        <is>
          <t>A+</t>
        </is>
      </c>
      <c r="D48" s="122" t="n">
        <v>202</v>
      </c>
      <c r="E48" s="123" t="inlineStr">
        <is>
          <t>–</t>
        </is>
      </c>
      <c r="F48" s="124" t="n">
        <v>3.66</v>
      </c>
      <c r="G48" s="125" t="n">
        <v>54</v>
      </c>
      <c r="H48" s="121" t="inlineStr">
        <is>
          <t>–</t>
        </is>
      </c>
      <c r="I48" s="121" t="inlineStr">
        <is>
          <t>R-290</t>
        </is>
      </c>
      <c r="J48" s="129" t="n">
        <v>2298</v>
      </c>
      <c r="K48" s="121" t="inlineStr">
        <is>
          <t>nein</t>
        </is>
      </c>
      <c r="L48" s="122" t="n">
        <v>1500</v>
      </c>
      <c r="M48" s="131" t="inlineStr">
        <is>
          <t>HD24 (COP A14/W55)</t>
        </is>
      </c>
      <c r="N48" s="131" t="inlineStr">
        <is>
          <t>emaillierter Stahl</t>
        </is>
      </c>
      <c r="O48" s="131" t="inlineStr">
        <is>
          <t>Magnesium-Schutzanode (von außen messbar)</t>
        </is>
      </c>
      <c r="P48" s="126">
        <f>IFERROR($B$5/F48,"–")</f>
        <v/>
      </c>
      <c r="Q48" s="127">
        <f>IFERROR($D$5*$B$5/F48,"–")</f>
        <v/>
      </c>
    </row>
    <row r="49" ht="20" customHeight="1">
      <c r="A49" s="130" t="inlineStr">
        <is>
          <t>Bosch BW270 BW270</t>
        </is>
      </c>
      <c r="B49" s="114" t="inlineStr">
        <is>
          <t>19.10.2023</t>
        </is>
      </c>
      <c r="C49" s="114" t="inlineStr">
        <is>
          <t>A+</t>
        </is>
      </c>
      <c r="D49" s="115" t="n">
        <v>258</v>
      </c>
      <c r="E49" s="116" t="n">
        <v>1.46</v>
      </c>
      <c r="F49" s="117">
        <f>E49*$B$4</f>
        <v/>
      </c>
      <c r="G49" s="118" t="n">
        <v>60</v>
      </c>
      <c r="H49" s="117" t="n">
        <v>0</v>
      </c>
      <c r="I49" s="114" t="inlineStr">
        <is>
          <t>R-134a</t>
        </is>
      </c>
      <c r="J49" s="114" t="inlineStr">
        <is>
          <t>–</t>
        </is>
      </c>
      <c r="K49" s="114" t="inlineStr">
        <is>
          <t>–</t>
        </is>
      </c>
      <c r="L49" s="114" t="inlineStr">
        <is>
          <t>–</t>
        </is>
      </c>
      <c r="M49" s="130" t="inlineStr">
        <is>
          <t>GET-DB (ηwh_m × Faktor)</t>
        </is>
      </c>
      <c r="N49" s="130" t="inlineStr">
        <is>
          <t>emailliert</t>
        </is>
      </c>
      <c r="O49" s="130" t="inlineStr">
        <is>
          <t>Magnesiumanode</t>
        </is>
      </c>
      <c r="P49" s="119">
        <f>IFERROR($B$5/F49,"–")</f>
        <v/>
      </c>
      <c r="Q49" s="120">
        <f>IFERROR($D$5*$B$5/F49,"–")</f>
        <v/>
      </c>
    </row>
    <row r="50" ht="20" customHeight="1">
      <c r="A50" s="131" t="inlineStr">
        <is>
          <t>Buderus BW270 BW270</t>
        </is>
      </c>
      <c r="B50" s="121" t="inlineStr">
        <is>
          <t>19.10.2023</t>
        </is>
      </c>
      <c r="C50" s="121" t="inlineStr">
        <is>
          <t>A+</t>
        </is>
      </c>
      <c r="D50" s="122" t="n">
        <v>258</v>
      </c>
      <c r="E50" s="123" t="n">
        <v>1.46</v>
      </c>
      <c r="F50" s="124">
        <f>E50*$B$4</f>
        <v/>
      </c>
      <c r="G50" s="125" t="n">
        <v>60</v>
      </c>
      <c r="H50" s="124" t="n">
        <v>0</v>
      </c>
      <c r="I50" s="121" t="inlineStr">
        <is>
          <t>R-134a</t>
        </is>
      </c>
      <c r="J50" s="121" t="inlineStr">
        <is>
          <t>–</t>
        </is>
      </c>
      <c r="K50" s="121" t="inlineStr">
        <is>
          <t>–</t>
        </is>
      </c>
      <c r="L50" s="121" t="inlineStr">
        <is>
          <t>–</t>
        </is>
      </c>
      <c r="M50" s="131" t="inlineStr">
        <is>
          <t>GET-DB (ηwh_m × Faktor)</t>
        </is>
      </c>
      <c r="N50" s="131" t="inlineStr">
        <is>
          <t>emailliert</t>
        </is>
      </c>
      <c r="O50" s="131" t="inlineStr">
        <is>
          <t>Magnesiumanode</t>
        </is>
      </c>
      <c r="P50" s="126">
        <f>IFERROR($B$5/F50,"–")</f>
        <v/>
      </c>
      <c r="Q50" s="127">
        <f>IFERROR($D$5*$B$5/F50,"–")</f>
        <v/>
      </c>
    </row>
    <row r="51" ht="20" customHeight="1">
      <c r="A51" s="130" t="inlineStr">
        <is>
          <t>Remeha Azorra Ace 200 E</t>
        </is>
      </c>
      <c r="B51" s="114" t="inlineStr">
        <is>
          <t>–</t>
        </is>
      </c>
      <c r="C51" s="114" t="inlineStr">
        <is>
          <t>A+</t>
        </is>
      </c>
      <c r="D51" s="115" t="n">
        <v>196</v>
      </c>
      <c r="E51" s="116" t="inlineStr">
        <is>
          <t>–</t>
        </is>
      </c>
      <c r="F51" s="117" t="n">
        <v>3.64</v>
      </c>
      <c r="G51" s="118" t="n">
        <v>49</v>
      </c>
      <c r="H51" s="114" t="inlineStr">
        <is>
          <t>–</t>
        </is>
      </c>
      <c r="I51" s="114" t="inlineStr">
        <is>
          <t>R-290</t>
        </is>
      </c>
      <c r="J51" s="128" t="n">
        <v>2440.6</v>
      </c>
      <c r="K51" s="114" t="inlineStr">
        <is>
          <t>nein</t>
        </is>
      </c>
      <c r="L51" s="115" t="n">
        <v>1800</v>
      </c>
      <c r="M51" s="130" t="inlineStr">
        <is>
          <t>heizung-billiger.de (COP A20/W35; A15/W10: 3,25; A7: 3,09)</t>
        </is>
      </c>
      <c r="N51" s="130" t="inlineStr">
        <is>
          <t>emailliert (Keramikbeschichtung)</t>
        </is>
      </c>
      <c r="O51" s="130" t="inlineStr">
        <is>
          <t>Titan-Kathodenschutzanode</t>
        </is>
      </c>
      <c r="P51" s="119">
        <f>IFERROR($B$5/F51,"–")</f>
        <v/>
      </c>
      <c r="Q51" s="120">
        <f>IFERROR($D$5*$B$5/F51,"–")</f>
        <v/>
      </c>
    </row>
    <row r="52" ht="20" customHeight="1">
      <c r="A52" s="131" t="inlineStr">
        <is>
          <t>Brötje BTW 200 B</t>
        </is>
      </c>
      <c r="B52" s="121" t="inlineStr">
        <is>
          <t>–</t>
        </is>
      </c>
      <c r="C52" s="121" t="inlineStr">
        <is>
          <t>A+</t>
        </is>
      </c>
      <c r="D52" s="122" t="n">
        <v>196</v>
      </c>
      <c r="E52" s="123" t="inlineStr">
        <is>
          <t>–</t>
        </is>
      </c>
      <c r="F52" s="124" t="n">
        <v>3.63</v>
      </c>
      <c r="G52" s="125" t="n">
        <v>49</v>
      </c>
      <c r="H52" s="121" t="inlineStr">
        <is>
          <t>–</t>
        </is>
      </c>
      <c r="I52" s="121" t="inlineStr">
        <is>
          <t>R-290</t>
        </is>
      </c>
      <c r="J52" s="129" t="n">
        <v>2819.79</v>
      </c>
      <c r="K52" s="121" t="inlineStr">
        <is>
          <t>nein</t>
        </is>
      </c>
      <c r="L52" s="122" t="n">
        <v>1800</v>
      </c>
      <c r="M52" s="131" t="inlineStr">
        <is>
          <t>heat-store.de (COP A20/Raumluft; A7: 3,09)</t>
        </is>
      </c>
      <c r="N52" s="131" t="inlineStr">
        <is>
          <t>emailliert (Keramikbeschichtung)</t>
        </is>
      </c>
      <c r="O52" s="131" t="inlineStr">
        <is>
          <t>Titan-Kathodenschutzanode</t>
        </is>
      </c>
      <c r="P52" s="126">
        <f>IFERROR($B$5/F52,"–")</f>
        <v/>
      </c>
      <c r="Q52" s="127">
        <f>IFERROR($D$5*$B$5/F52,"–")</f>
        <v/>
      </c>
    </row>
    <row r="53" ht="20" customHeight="1">
      <c r="A53" s="130" t="inlineStr">
        <is>
          <t>Brötje BTW 250 B</t>
        </is>
      </c>
      <c r="B53" s="114" t="inlineStr">
        <is>
          <t>–</t>
        </is>
      </c>
      <c r="C53" s="114" t="inlineStr">
        <is>
          <t>A+</t>
        </is>
      </c>
      <c r="D53" s="115" t="n">
        <v>251</v>
      </c>
      <c r="E53" s="116" t="inlineStr">
        <is>
          <t>–</t>
        </is>
      </c>
      <c r="F53" s="117" t="n">
        <v>3.63</v>
      </c>
      <c r="G53" s="118" t="n">
        <v>49</v>
      </c>
      <c r="H53" s="114" t="inlineStr">
        <is>
          <t>–</t>
        </is>
      </c>
      <c r="I53" s="114" t="inlineStr">
        <is>
          <t>R-290</t>
        </is>
      </c>
      <c r="J53" s="128" t="n">
        <v>2898.25</v>
      </c>
      <c r="K53" s="114" t="inlineStr">
        <is>
          <t>nein</t>
        </is>
      </c>
      <c r="L53" s="115" t="n">
        <v>1800</v>
      </c>
      <c r="M53" s="130" t="inlineStr">
        <is>
          <t>broetje.de (COP A20/Raumluft, EN 16147; Außenluft: 3,48)</t>
        </is>
      </c>
      <c r="N53" s="130" t="inlineStr">
        <is>
          <t>emailliert (Keramikbeschichtung)</t>
        </is>
      </c>
      <c r="O53" s="130" t="inlineStr">
        <is>
          <t>Titan-Kathodenschutzanode</t>
        </is>
      </c>
      <c r="P53" s="119">
        <f>IFERROR($B$5/F53,"–")</f>
        <v/>
      </c>
      <c r="Q53" s="120">
        <f>IFERROR($D$5*$B$5/F53,"–")</f>
        <v/>
      </c>
    </row>
    <row r="54" ht="20" customHeight="1">
      <c r="A54" s="131" t="inlineStr">
        <is>
          <t>Brötje BTW S 200 B</t>
        </is>
      </c>
      <c r="B54" s="121" t="inlineStr">
        <is>
          <t>–</t>
        </is>
      </c>
      <c r="C54" s="121" t="inlineStr">
        <is>
          <t>A+</t>
        </is>
      </c>
      <c r="D54" s="122" t="n">
        <v>188</v>
      </c>
      <c r="E54" s="123" t="inlineStr">
        <is>
          <t>–</t>
        </is>
      </c>
      <c r="F54" s="124" t="n">
        <v>3.63</v>
      </c>
      <c r="G54" s="125" t="n">
        <v>49</v>
      </c>
      <c r="H54" s="121" t="inlineStr">
        <is>
          <t>–</t>
        </is>
      </c>
      <c r="I54" s="121" t="inlineStr">
        <is>
          <t>R-290</t>
        </is>
      </c>
      <c r="J54" s="129" t="n">
        <v>2945.41</v>
      </c>
      <c r="K54" s="121" t="inlineStr">
        <is>
          <t>ja (S)</t>
        </is>
      </c>
      <c r="L54" s="122" t="n">
        <v>1800</v>
      </c>
      <c r="M54" s="131" t="inlineStr">
        <is>
          <t>heat-store.de (COP A20/Raumluft; A7: 3,09)</t>
        </is>
      </c>
      <c r="N54" s="131" t="inlineStr">
        <is>
          <t>emailliert (Keramikbeschichtung)</t>
        </is>
      </c>
      <c r="O54" s="131" t="inlineStr">
        <is>
          <t>Titan-Kathodenschutzanode</t>
        </is>
      </c>
      <c r="P54" s="126">
        <f>IFERROR($B$5/F54,"–")</f>
        <v/>
      </c>
      <c r="Q54" s="127">
        <f>IFERROR($D$5*$B$5/F54,"–")</f>
        <v/>
      </c>
    </row>
    <row r="55" ht="20" customHeight="1">
      <c r="A55" s="130" t="inlineStr">
        <is>
          <t>Tesy AquaThermica Pro HPWH 4.11 FS 200 U 02 (306209)</t>
        </is>
      </c>
      <c r="B55" s="114" t="inlineStr">
        <is>
          <t>–</t>
        </is>
      </c>
      <c r="C55" s="114" t="inlineStr">
        <is>
          <t>A+</t>
        </is>
      </c>
      <c r="D55" s="115" t="n">
        <v>202</v>
      </c>
      <c r="E55" s="116" t="inlineStr">
        <is>
          <t>–</t>
        </is>
      </c>
      <c r="F55" s="117" t="n">
        <v>3.6</v>
      </c>
      <c r="G55" s="114" t="inlineStr">
        <is>
          <t>–</t>
        </is>
      </c>
      <c r="H55" s="114" t="inlineStr">
        <is>
          <t>–</t>
        </is>
      </c>
      <c r="I55" s="114" t="inlineStr">
        <is>
          <t>R-290</t>
        </is>
      </c>
      <c r="J55" s="128" t="n">
        <v>1489</v>
      </c>
      <c r="K55" s="114" t="inlineStr">
        <is>
          <t>nein</t>
        </is>
      </c>
      <c r="L55" s="115" t="n">
        <v>1500</v>
      </c>
      <c r="M55" s="130" t="inlineStr">
        <is>
          <t>HD24 (CoP DHW)</t>
        </is>
      </c>
      <c r="N55" s="130" t="inlineStr">
        <is>
          <t>emailliert</t>
        </is>
      </c>
      <c r="O55" s="130" t="inlineStr">
        <is>
          <t>Magnesiumanode (Ø 33 × 400 mm)</t>
        </is>
      </c>
      <c r="P55" s="119">
        <f>IFERROR($B$5/F55,"–")</f>
        <v/>
      </c>
      <c r="Q55" s="120">
        <f>IFERROR($D$5*$B$5/F55,"–")</f>
        <v/>
      </c>
    </row>
    <row r="56" ht="20" customHeight="1">
      <c r="A56" s="131" t="inlineStr">
        <is>
          <t>Tesy AquaThermica Pro HPWH 4.11 FS 200 U 02 S (306268)</t>
        </is>
      </c>
      <c r="B56" s="121" t="inlineStr">
        <is>
          <t>–</t>
        </is>
      </c>
      <c r="C56" s="121" t="inlineStr">
        <is>
          <t>A+</t>
        </is>
      </c>
      <c r="D56" s="122" t="n">
        <v>194</v>
      </c>
      <c r="E56" s="123" t="inlineStr">
        <is>
          <t>–</t>
        </is>
      </c>
      <c r="F56" s="124" t="n">
        <v>3.6</v>
      </c>
      <c r="G56" s="121" t="inlineStr">
        <is>
          <t>–</t>
        </is>
      </c>
      <c r="H56" s="121" t="inlineStr">
        <is>
          <t>–</t>
        </is>
      </c>
      <c r="I56" s="121" t="inlineStr">
        <is>
          <t>R-290</t>
        </is>
      </c>
      <c r="J56" s="129" t="n">
        <v>1559</v>
      </c>
      <c r="K56" s="121" t="inlineStr">
        <is>
          <t>ja (S)</t>
        </is>
      </c>
      <c r="L56" s="122" t="n">
        <v>1500</v>
      </c>
      <c r="M56" s="131" t="inlineStr">
        <is>
          <t>HD24 (CoP DHW) · WT 1,05 m²</t>
        </is>
      </c>
      <c r="N56" s="131" t="inlineStr">
        <is>
          <t>emailliert</t>
        </is>
      </c>
      <c r="O56" s="131" t="inlineStr">
        <is>
          <t>Magnesiumanode (Ø 33 × 400 mm)</t>
        </is>
      </c>
      <c r="P56" s="126">
        <f>IFERROR($B$5/F56,"–")</f>
        <v/>
      </c>
      <c r="Q56" s="127">
        <f>IFERROR($D$5*$B$5/F56,"–")</f>
        <v/>
      </c>
    </row>
    <row r="57" ht="20" customHeight="1">
      <c r="A57" s="130" t="inlineStr">
        <is>
          <t>Weishaupt WWP T 300 WA</t>
        </is>
      </c>
      <c r="B57" s="114" t="inlineStr">
        <is>
          <t>–</t>
        </is>
      </c>
      <c r="C57" s="114" t="inlineStr">
        <is>
          <t>A+</t>
        </is>
      </c>
      <c r="D57" s="115" t="n">
        <v>290</v>
      </c>
      <c r="E57" s="116" t="inlineStr">
        <is>
          <t>–</t>
        </is>
      </c>
      <c r="F57" s="117" t="n">
        <v>3.6</v>
      </c>
      <c r="G57" s="118" t="n">
        <v>60</v>
      </c>
      <c r="H57" s="114" t="inlineStr">
        <is>
          <t>–</t>
        </is>
      </c>
      <c r="I57" s="114" t="inlineStr">
        <is>
          <t>R-134a</t>
        </is>
      </c>
      <c r="J57" s="128" t="n">
        <v>4373.8</v>
      </c>
      <c r="K57" s="114" t="inlineStr">
        <is>
          <t>ja</t>
        </is>
      </c>
      <c r="L57" s="114" t="inlineStr">
        <is>
          <t>optional</t>
        </is>
      </c>
      <c r="M57" s="130" t="inlineStr">
        <is>
          <t>Weishaupt-Produktinfo / heat-store.de (COP A15/W10-55, EN 16147, XL) · WT 1,2 m²</t>
        </is>
      </c>
      <c r="N57" s="130" t="inlineStr">
        <is>
          <t>Stahl emailliert (DIN 4753)</t>
        </is>
      </c>
      <c r="O57" s="130" t="inlineStr">
        <is>
          <t>Schutzanode (Typ n. a.)</t>
        </is>
      </c>
      <c r="P57" s="119">
        <f>IFERROR($B$5/F57,"–")</f>
        <v/>
      </c>
      <c r="Q57" s="120">
        <f>IFERROR($D$5*$B$5/F57,"–")</f>
        <v/>
      </c>
    </row>
    <row r="58" ht="20" customHeight="1">
      <c r="A58" s="131" t="inlineStr">
        <is>
          <t>Austria Email AG AE REVOLUTION EVO 3 , 240L WT</t>
        </is>
      </c>
      <c r="B58" s="121" t="inlineStr">
        <is>
          <t>18.03.2029</t>
        </is>
      </c>
      <c r="C58" s="121" t="inlineStr">
        <is>
          <t>A+</t>
        </is>
      </c>
      <c r="D58" s="122" t="n">
        <v>230</v>
      </c>
      <c r="E58" s="123" t="n">
        <v>1.44</v>
      </c>
      <c r="F58" s="124">
        <f>E58*$B$4</f>
        <v/>
      </c>
      <c r="G58" s="125" t="n">
        <v>47</v>
      </c>
      <c r="H58" s="124" t="n">
        <v>0</v>
      </c>
      <c r="I58" s="121" t="inlineStr">
        <is>
          <t>R-290</t>
        </is>
      </c>
      <c r="J58" s="129" t="n">
        <v>2119</v>
      </c>
      <c r="K58" s="121" t="inlineStr">
        <is>
          <t>ja (WT)</t>
        </is>
      </c>
      <c r="L58" s="122" t="n">
        <v>1200</v>
      </c>
      <c r="M58" s="131" t="inlineStr">
        <is>
          <t>GET-DB + HD24 (Explorer Evo 3 240L WT) · WT 1,2 m²</t>
        </is>
      </c>
      <c r="N58" s="131" t="inlineStr">
        <is>
          <t>emailliert</t>
        </is>
      </c>
      <c r="O58" s="131" t="inlineStr">
        <is>
          <t>ACI-Hybrid (Titan/Mg)</t>
        </is>
      </c>
      <c r="P58" s="126">
        <f>IFERROR($B$5/F58,"–")</f>
        <v/>
      </c>
      <c r="Q58" s="127">
        <f>IFERROR($D$5*$B$5/F58,"–")</f>
        <v/>
      </c>
    </row>
    <row r="59" ht="20" customHeight="1">
      <c r="A59" s="130" t="inlineStr">
        <is>
          <t>KWB EmpaAir 300 R KWB EmpaAir 300 R</t>
        </is>
      </c>
      <c r="B59" s="114" t="inlineStr">
        <is>
          <t>18.11.2027</t>
        </is>
      </c>
      <c r="C59" s="114" t="inlineStr">
        <is>
          <t>A+</t>
        </is>
      </c>
      <c r="D59" s="115" t="n">
        <v>291</v>
      </c>
      <c r="E59" s="116" t="n">
        <v>1.44</v>
      </c>
      <c r="F59" s="117">
        <f>E59*$B$4</f>
        <v/>
      </c>
      <c r="G59" s="118" t="n">
        <v>60</v>
      </c>
      <c r="H59" s="117" t="n">
        <v>0</v>
      </c>
      <c r="I59" s="114" t="inlineStr">
        <is>
          <t>R-134a</t>
        </is>
      </c>
      <c r="J59" s="114" t="inlineStr">
        <is>
          <t>–</t>
        </is>
      </c>
      <c r="K59" s="114" t="inlineStr">
        <is>
          <t>–</t>
        </is>
      </c>
      <c r="L59" s="114" t="inlineStr">
        <is>
          <t>–</t>
        </is>
      </c>
      <c r="M59" s="130" t="inlineStr">
        <is>
          <t>GET-DB (ηwh_m × Faktor)</t>
        </is>
      </c>
      <c r="N59" s="130" t="inlineStr">
        <is>
          <t>–</t>
        </is>
      </c>
      <c r="O59" s="130" t="inlineStr">
        <is>
          <t>–</t>
        </is>
      </c>
      <c r="P59" s="119">
        <f>IFERROR($B$5/F59,"–")</f>
        <v/>
      </c>
      <c r="Q59" s="120">
        <f>IFERROR($D$5*$B$5/F59,"–")</f>
        <v/>
      </c>
    </row>
    <row r="60" ht="20" customHeight="1">
      <c r="A60" s="131" t="inlineStr">
        <is>
          <t>Stiebel Eltron WWK 300 electronic</t>
        </is>
      </c>
      <c r="B60" s="121" t="inlineStr">
        <is>
          <t>18.11.2027</t>
        </is>
      </c>
      <c r="C60" s="121" t="inlineStr">
        <is>
          <t>A+</t>
        </is>
      </c>
      <c r="D60" s="122" t="n">
        <v>302</v>
      </c>
      <c r="E60" s="123" t="n">
        <v>1.44</v>
      </c>
      <c r="F60" s="124">
        <f>E60*$B$4</f>
        <v/>
      </c>
      <c r="G60" s="125" t="n">
        <v>60</v>
      </c>
      <c r="H60" s="124" t="n">
        <v>0</v>
      </c>
      <c r="I60" s="121" t="inlineStr">
        <is>
          <t>R-134a</t>
        </is>
      </c>
      <c r="J60" s="121" t="inlineStr">
        <is>
          <t>–</t>
        </is>
      </c>
      <c r="K60" s="121" t="inlineStr">
        <is>
          <t>–</t>
        </is>
      </c>
      <c r="L60" s="121" t="inlineStr">
        <is>
          <t>–</t>
        </is>
      </c>
      <c r="M60" s="131" t="inlineStr">
        <is>
          <t>GET-DB (ηwh_m × Faktor)</t>
        </is>
      </c>
      <c r="N60" s="131" t="inlineStr">
        <is>
          <t>emailliert (Spezialemaillierung)</t>
        </is>
      </c>
      <c r="O60" s="131" t="inlineStr">
        <is>
          <t>Fremdstromanode</t>
        </is>
      </c>
      <c r="P60" s="126">
        <f>IFERROR($B$5/F60,"–")</f>
        <v/>
      </c>
      <c r="Q60" s="127">
        <f>IFERROR($D$5*$B$5/F60,"–")</f>
        <v/>
      </c>
    </row>
    <row r="61" ht="20" customHeight="1">
      <c r="A61" s="130" t="inlineStr">
        <is>
          <t>Stiebel Eltron WWK 300 electronic SOL</t>
        </is>
      </c>
      <c r="B61" s="114" t="inlineStr">
        <is>
          <t>18.11.2027</t>
        </is>
      </c>
      <c r="C61" s="114" t="inlineStr">
        <is>
          <t>A+</t>
        </is>
      </c>
      <c r="D61" s="115" t="n">
        <v>291</v>
      </c>
      <c r="E61" s="116" t="n">
        <v>1.44</v>
      </c>
      <c r="F61" s="117">
        <f>E61*$B$4</f>
        <v/>
      </c>
      <c r="G61" s="118" t="n">
        <v>60</v>
      </c>
      <c r="H61" s="117" t="n">
        <v>1.6</v>
      </c>
      <c r="I61" s="114" t="inlineStr">
        <is>
          <t>R-134a</t>
        </is>
      </c>
      <c r="J61" s="114" t="inlineStr">
        <is>
          <t>–</t>
        </is>
      </c>
      <c r="K61" s="114" t="inlineStr">
        <is>
          <t>–</t>
        </is>
      </c>
      <c r="L61" s="114" t="inlineStr">
        <is>
          <t>–</t>
        </is>
      </c>
      <c r="M61" s="130" t="inlineStr">
        <is>
          <t>GET-DB (ηwh_m × Faktor)</t>
        </is>
      </c>
      <c r="N61" s="130" t="inlineStr">
        <is>
          <t>emailliert (Spezialemaillierung)</t>
        </is>
      </c>
      <c r="O61" s="130" t="inlineStr">
        <is>
          <t>Fremdstromanode</t>
        </is>
      </c>
      <c r="P61" s="119">
        <f>IFERROR($B$5/F61,"–")</f>
        <v/>
      </c>
      <c r="Q61" s="120">
        <f>IFERROR($D$5*$B$5/F61,"–")</f>
        <v/>
      </c>
    </row>
    <row r="62" ht="20" customHeight="1">
      <c r="A62" s="131" t="inlineStr">
        <is>
          <t>Haier HP200M7C-F9</t>
        </is>
      </c>
      <c r="B62" s="121" t="inlineStr">
        <is>
          <t>–</t>
        </is>
      </c>
      <c r="C62" s="121" t="inlineStr">
        <is>
          <t>A+</t>
        </is>
      </c>
      <c r="D62" s="122" t="n">
        <v>185</v>
      </c>
      <c r="E62" s="123" t="inlineStr">
        <is>
          <t>–</t>
        </is>
      </c>
      <c r="F62" s="124" t="n">
        <v>3.55</v>
      </c>
      <c r="G62" s="125" t="n">
        <v>50</v>
      </c>
      <c r="H62" s="121" t="inlineStr">
        <is>
          <t>–</t>
        </is>
      </c>
      <c r="I62" s="121" t="inlineStr">
        <is>
          <t>R-290</t>
        </is>
      </c>
      <c r="J62" s="129" t="n">
        <v>1439</v>
      </c>
      <c r="K62" s="121" t="inlineStr">
        <is>
          <t>ja (C)</t>
        </is>
      </c>
      <c r="L62" s="122" t="n">
        <v>1500</v>
      </c>
      <c r="M62" s="131" t="inlineStr">
        <is>
          <t>HD24/Haier-Datenblatt (COP 14 °C) – Klasse lt. Haier A+, HD24 nennt fälschlich A+++</t>
        </is>
      </c>
      <c r="N62" s="131" t="inlineStr">
        <is>
          <t>emailliert</t>
        </is>
      </c>
      <c r="O62" s="131" t="inlineStr">
        <is>
          <t>elektronische Anode</t>
        </is>
      </c>
      <c r="P62" s="126">
        <f>IFERROR($B$5/F62,"–")</f>
        <v/>
      </c>
      <c r="Q62" s="127">
        <f>IFERROR($D$5*$B$5/F62,"–")</f>
        <v/>
      </c>
    </row>
    <row r="63" ht="20" customHeight="1">
      <c r="A63" s="130" t="inlineStr">
        <is>
          <t>AEG WPT 220 EL</t>
        </is>
      </c>
      <c r="B63" s="114" t="inlineStr">
        <is>
          <t>–</t>
        </is>
      </c>
      <c r="C63" s="114" t="inlineStr">
        <is>
          <t>A+</t>
        </is>
      </c>
      <c r="D63" s="115" t="n">
        <v>220</v>
      </c>
      <c r="E63" s="116" t="inlineStr">
        <is>
          <t>–</t>
        </is>
      </c>
      <c r="F63" s="117" t="n">
        <v>3.55</v>
      </c>
      <c r="G63" s="118" t="n">
        <v>60</v>
      </c>
      <c r="H63" s="114" t="inlineStr">
        <is>
          <t>–</t>
        </is>
      </c>
      <c r="I63" s="114" t="inlineStr">
        <is>
          <t>–</t>
        </is>
      </c>
      <c r="J63" s="128" t="n">
        <v>1869</v>
      </c>
      <c r="K63" s="114" t="inlineStr">
        <is>
          <t>nein</t>
        </is>
      </c>
      <c r="L63" s="114" t="inlineStr">
        <is>
          <t>–</t>
        </is>
      </c>
      <c r="M63" s="130" t="inlineStr">
        <is>
          <t>HD24 (COP A20)</t>
        </is>
      </c>
      <c r="N63" s="130" t="inlineStr">
        <is>
          <t>–</t>
        </is>
      </c>
      <c r="O63" s="130" t="inlineStr">
        <is>
          <t>–</t>
        </is>
      </c>
      <c r="P63" s="119">
        <f>IFERROR($B$5/F63,"–")</f>
        <v/>
      </c>
      <c r="Q63" s="120">
        <f>IFERROR($D$5*$B$5/F63,"–")</f>
        <v/>
      </c>
    </row>
    <row r="64" ht="20" customHeight="1">
      <c r="A64" s="131" t="inlineStr">
        <is>
          <t>Brötje BTW S 250 B</t>
        </is>
      </c>
      <c r="B64" s="121" t="inlineStr">
        <is>
          <t>–</t>
        </is>
      </c>
      <c r="C64" s="121" t="inlineStr">
        <is>
          <t>A+</t>
        </is>
      </c>
      <c r="D64" s="122" t="n">
        <v>243</v>
      </c>
      <c r="E64" s="123" t="inlineStr">
        <is>
          <t>–</t>
        </is>
      </c>
      <c r="F64" s="124" t="n">
        <v>3.54</v>
      </c>
      <c r="G64" s="125" t="n">
        <v>49</v>
      </c>
      <c r="H64" s="121" t="inlineStr">
        <is>
          <t>–</t>
        </is>
      </c>
      <c r="I64" s="121" t="inlineStr">
        <is>
          <t>R-290</t>
        </is>
      </c>
      <c r="J64" s="129" t="n">
        <v>3130.15</v>
      </c>
      <c r="K64" s="121" t="inlineStr">
        <is>
          <t>ja (S)</t>
        </is>
      </c>
      <c r="L64" s="122" t="n">
        <v>1800</v>
      </c>
      <c r="M64" s="131" t="inlineStr">
        <is>
          <t>haustec.de (COP max., Raumluft)</t>
        </is>
      </c>
      <c r="N64" s="131" t="inlineStr">
        <is>
          <t>emailliert (Keramikbeschichtung)</t>
        </is>
      </c>
      <c r="O64" s="131" t="inlineStr">
        <is>
          <t>Titan-Kathodenschutzanode</t>
        </is>
      </c>
      <c r="P64" s="126">
        <f>IFERROR($B$5/F64,"–")</f>
        <v/>
      </c>
      <c r="Q64" s="127">
        <f>IFERROR($D$5*$B$5/F64,"–")</f>
        <v/>
      </c>
    </row>
    <row r="65" ht="20" customHeight="1">
      <c r="A65" s="130" t="inlineStr">
        <is>
          <t>AEG WPT 300 EL</t>
        </is>
      </c>
      <c r="B65" s="114" t="inlineStr">
        <is>
          <t>–</t>
        </is>
      </c>
      <c r="C65" s="114" t="inlineStr">
        <is>
          <t>A+</t>
        </is>
      </c>
      <c r="D65" s="115" t="n">
        <v>302</v>
      </c>
      <c r="E65" s="116" t="inlineStr">
        <is>
          <t>–</t>
        </is>
      </c>
      <c r="F65" s="117" t="n">
        <v>3.51</v>
      </c>
      <c r="G65" s="118" t="n">
        <v>60</v>
      </c>
      <c r="H65" s="114" t="inlineStr">
        <is>
          <t>–</t>
        </is>
      </c>
      <c r="I65" s="114" t="inlineStr">
        <is>
          <t>–</t>
        </is>
      </c>
      <c r="J65" s="128" t="n">
        <v>1898</v>
      </c>
      <c r="K65" s="114" t="inlineStr">
        <is>
          <t>nein</t>
        </is>
      </c>
      <c r="L65" s="114" t="inlineStr">
        <is>
          <t>–</t>
        </is>
      </c>
      <c r="M65" s="130" t="inlineStr">
        <is>
          <t>HD24 (COP A20)</t>
        </is>
      </c>
      <c r="N65" s="130" t="inlineStr">
        <is>
          <t>–</t>
        </is>
      </c>
      <c r="O65" s="130" t="inlineStr">
        <is>
          <t>–</t>
        </is>
      </c>
      <c r="P65" s="119">
        <f>IFERROR($B$5/F65,"–")</f>
        <v/>
      </c>
      <c r="Q65" s="120">
        <f>IFERROR($D$5*$B$5/F65,"–")</f>
        <v/>
      </c>
    </row>
    <row r="66" ht="20" customHeight="1">
      <c r="A66" s="131" t="inlineStr">
        <is>
          <t>AEG WPT 300 EL plus</t>
        </is>
      </c>
      <c r="B66" s="121" t="inlineStr">
        <is>
          <t>–</t>
        </is>
      </c>
      <c r="C66" s="121" t="inlineStr">
        <is>
          <t>A+</t>
        </is>
      </c>
      <c r="D66" s="122" t="n">
        <v>291</v>
      </c>
      <c r="E66" s="123" t="inlineStr">
        <is>
          <t>–</t>
        </is>
      </c>
      <c r="F66" s="124" t="n">
        <v>3.51</v>
      </c>
      <c r="G66" s="125" t="n">
        <v>60</v>
      </c>
      <c r="H66" s="121" t="inlineStr">
        <is>
          <t>–</t>
        </is>
      </c>
      <c r="I66" s="121" t="inlineStr">
        <is>
          <t>–</t>
        </is>
      </c>
      <c r="J66" s="129" t="n">
        <v>1998</v>
      </c>
      <c r="K66" s="121" t="inlineStr">
        <is>
          <t>ja (plus)</t>
        </is>
      </c>
      <c r="L66" s="121" t="inlineStr">
        <is>
          <t>–</t>
        </is>
      </c>
      <c r="M66" s="131" t="inlineStr">
        <is>
          <t>HD24 (COP A20)</t>
        </is>
      </c>
      <c r="N66" s="131" t="inlineStr">
        <is>
          <t>–</t>
        </is>
      </c>
      <c r="O66" s="131" t="inlineStr">
        <is>
          <t>–</t>
        </is>
      </c>
      <c r="P66" s="126">
        <f>IFERROR($B$5/F66,"–")</f>
        <v/>
      </c>
      <c r="Q66" s="127">
        <f>IFERROR($D$5*$B$5/F66,"–")</f>
        <v/>
      </c>
    </row>
    <row r="67" ht="20" customHeight="1">
      <c r="A67" s="130" t="inlineStr">
        <is>
          <t>Haier HP200M7-F9</t>
        </is>
      </c>
      <c r="B67" s="114" t="inlineStr">
        <is>
          <t>–</t>
        </is>
      </c>
      <c r="C67" s="114" t="inlineStr">
        <is>
          <t>A+</t>
        </is>
      </c>
      <c r="D67" s="115" t="n">
        <v>194</v>
      </c>
      <c r="E67" s="116" t="inlineStr">
        <is>
          <t>–</t>
        </is>
      </c>
      <c r="F67" s="117" t="n">
        <v>3.5</v>
      </c>
      <c r="G67" s="118" t="n">
        <v>50</v>
      </c>
      <c r="H67" s="114" t="inlineStr">
        <is>
          <t>–</t>
        </is>
      </c>
      <c r="I67" s="114" t="inlineStr">
        <is>
          <t>R-290</t>
        </is>
      </c>
      <c r="J67" s="128" t="n">
        <v>1369</v>
      </c>
      <c r="K67" s="114" t="inlineStr">
        <is>
          <t>nein</t>
        </is>
      </c>
      <c r="L67" s="115" t="n">
        <v>1500</v>
      </c>
      <c r="M67" s="130" t="inlineStr">
        <is>
          <t>HD24/Haier-Datenblatt (COP 14 °C) – Klasse lt. Haier A+, HD24 nennt fälschlich A+++</t>
        </is>
      </c>
      <c r="N67" s="130" t="inlineStr">
        <is>
          <t>emailliert</t>
        </is>
      </c>
      <c r="O67" s="130" t="inlineStr">
        <is>
          <t>elektronische Anode</t>
        </is>
      </c>
      <c r="P67" s="119">
        <f>IFERROR($B$5/F67,"–")</f>
        <v/>
      </c>
      <c r="Q67" s="120">
        <f>IFERROR($D$5*$B$5/F67,"–")</f>
        <v/>
      </c>
    </row>
    <row r="68" ht="20" customHeight="1">
      <c r="A68" s="131" t="inlineStr">
        <is>
          <t>LG Therma V WH20S.F5</t>
        </is>
      </c>
      <c r="B68" s="121" t="inlineStr">
        <is>
          <t>–</t>
        </is>
      </c>
      <c r="C68" s="121" t="inlineStr">
        <is>
          <t>A+</t>
        </is>
      </c>
      <c r="D68" s="122" t="n">
        <v>200</v>
      </c>
      <c r="E68" s="123" t="inlineStr">
        <is>
          <t>–</t>
        </is>
      </c>
      <c r="F68" s="124" t="n">
        <v>3.5</v>
      </c>
      <c r="G68" s="125" t="n">
        <v>55</v>
      </c>
      <c r="H68" s="121" t="inlineStr">
        <is>
          <t>–</t>
        </is>
      </c>
      <c r="I68" s="121" t="inlineStr">
        <is>
          <t>R-134a</t>
        </is>
      </c>
      <c r="J68" s="129" t="n">
        <v>1698</v>
      </c>
      <c r="K68" s="121" t="inlineStr">
        <is>
          <t>nein</t>
        </is>
      </c>
      <c r="L68" s="122" t="n">
        <v>2000</v>
      </c>
      <c r="M68" s="131" t="inlineStr">
        <is>
          <t>HD24 (COP 15 °C)</t>
        </is>
      </c>
      <c r="N68" s="131" t="inlineStr">
        <is>
          <t>–</t>
        </is>
      </c>
      <c r="O68" s="131" t="inlineStr">
        <is>
          <t>–</t>
        </is>
      </c>
      <c r="P68" s="126">
        <f>IFERROR($B$5/F68,"–")</f>
        <v/>
      </c>
      <c r="Q68" s="127">
        <f>IFERROR($D$5*$B$5/F68,"–")</f>
        <v/>
      </c>
    </row>
    <row r="69" ht="20" customHeight="1">
      <c r="A69" s="130" t="inlineStr">
        <is>
          <t>LG Therma V WH20STR2.FA</t>
        </is>
      </c>
      <c r="B69" s="114" t="inlineStr">
        <is>
          <t>–</t>
        </is>
      </c>
      <c r="C69" s="114" t="inlineStr">
        <is>
          <t>A+</t>
        </is>
      </c>
      <c r="D69" s="115" t="n">
        <v>200</v>
      </c>
      <c r="E69" s="116" t="inlineStr">
        <is>
          <t>–</t>
        </is>
      </c>
      <c r="F69" s="117" t="n">
        <v>3.5</v>
      </c>
      <c r="G69" s="118" t="n">
        <v>55</v>
      </c>
      <c r="H69" s="114" t="inlineStr">
        <is>
          <t>–</t>
        </is>
      </c>
      <c r="I69" s="114" t="inlineStr">
        <is>
          <t>R-134a</t>
        </is>
      </c>
      <c r="J69" s="128" t="n">
        <v>1698</v>
      </c>
      <c r="K69" s="114" t="inlineStr">
        <is>
          <t>nein</t>
        </is>
      </c>
      <c r="L69" s="115" t="n">
        <v>2000</v>
      </c>
      <c r="M69" s="130" t="inlineStr">
        <is>
          <t>HD24 (COP A15/W35)</t>
        </is>
      </c>
      <c r="N69" s="130" t="inlineStr">
        <is>
          <t>–</t>
        </is>
      </c>
      <c r="O69" s="130" t="inlineStr">
        <is>
          <t>–</t>
        </is>
      </c>
      <c r="P69" s="119">
        <f>IFERROR($B$5/F69,"–")</f>
        <v/>
      </c>
      <c r="Q69" s="120">
        <f>IFERROR($D$5*$B$5/F69,"–")</f>
        <v/>
      </c>
    </row>
    <row r="70" ht="20" customHeight="1">
      <c r="A70" s="131" t="inlineStr">
        <is>
          <t>Viessmann Vitocal 262-A T2H-R290</t>
        </is>
      </c>
      <c r="B70" s="121" t="inlineStr">
        <is>
          <t>08.04.2027</t>
        </is>
      </c>
      <c r="C70" s="121" t="inlineStr">
        <is>
          <t>A+</t>
        </is>
      </c>
      <c r="D70" s="122" t="n">
        <v>300</v>
      </c>
      <c r="E70" s="123" t="n">
        <v>1.39</v>
      </c>
      <c r="F70" s="124">
        <f>E70*$B$4</f>
        <v/>
      </c>
      <c r="G70" s="125" t="n">
        <v>48</v>
      </c>
      <c r="H70" s="124" t="n">
        <v>0</v>
      </c>
      <c r="I70" s="121" t="inlineStr">
        <is>
          <t>R-290</t>
        </is>
      </c>
      <c r="J70" s="121" t="inlineStr">
        <is>
          <t>–</t>
        </is>
      </c>
      <c r="K70" s="121" t="inlineStr">
        <is>
          <t>–</t>
        </is>
      </c>
      <c r="L70" s="121" t="inlineStr">
        <is>
          <t>–</t>
        </is>
      </c>
      <c r="M70" s="131" t="inlineStr">
        <is>
          <t>GET-DB (ηwh_m × Faktor)</t>
        </is>
      </c>
      <c r="N70" s="131" t="inlineStr">
        <is>
          <t>emailliert (Ceraprotect)</t>
        </is>
      </c>
      <c r="O70" s="131" t="inlineStr">
        <is>
          <t>Magnesiumanode (elektr. überwacht)</t>
        </is>
      </c>
      <c r="P70" s="126">
        <f>IFERROR($B$5/F70,"–")</f>
        <v/>
      </c>
      <c r="Q70" s="127">
        <f>IFERROR($D$5*$B$5/F70,"–")</f>
        <v/>
      </c>
    </row>
    <row r="71" ht="20" customHeight="1">
      <c r="A71" s="130" t="inlineStr">
        <is>
          <t>Kermi x-change aqua eco XL</t>
        </is>
      </c>
      <c r="B71" s="114" t="inlineStr">
        <is>
          <t>–</t>
        </is>
      </c>
      <c r="C71" s="114" t="inlineStr">
        <is>
          <t>A+</t>
        </is>
      </c>
      <c r="D71" s="115" t="n">
        <v>270</v>
      </c>
      <c r="E71" s="116" t="inlineStr">
        <is>
          <t>–</t>
        </is>
      </c>
      <c r="F71" s="117" t="n">
        <v>3.47</v>
      </c>
      <c r="G71" s="118" t="n">
        <v>56</v>
      </c>
      <c r="H71" s="114" t="inlineStr">
        <is>
          <t>–</t>
        </is>
      </c>
      <c r="I71" s="114" t="inlineStr">
        <is>
          <t>R-290</t>
        </is>
      </c>
      <c r="J71" s="128" t="n">
        <v>2139</v>
      </c>
      <c r="K71" s="114" t="inlineStr">
        <is>
          <t>ja</t>
        </is>
      </c>
      <c r="L71" s="115" t="n">
        <v>2200</v>
      </c>
      <c r="M71" s="130" t="inlineStr">
        <is>
          <t>HD24 (COP A20/W10-53)</t>
        </is>
      </c>
      <c r="N71" s="130" t="inlineStr">
        <is>
          <t>emailliert</t>
        </is>
      </c>
      <c r="O71" s="130" t="inlineStr">
        <is>
          <t>–</t>
        </is>
      </c>
      <c r="P71" s="119">
        <f>IFERROR($B$5/F71,"–")</f>
        <v/>
      </c>
      <c r="Q71" s="120">
        <f>IFERROR($D$5*$B$5/F71,"–")</f>
        <v/>
      </c>
    </row>
    <row r="72" ht="20" customHeight="1">
      <c r="A72" s="131" t="inlineStr">
        <is>
          <t>Haier HP250M7-F9</t>
        </is>
      </c>
      <c r="B72" s="121" t="inlineStr">
        <is>
          <t>–</t>
        </is>
      </c>
      <c r="C72" s="121" t="inlineStr">
        <is>
          <t>A+</t>
        </is>
      </c>
      <c r="D72" s="122" t="n">
        <v>250</v>
      </c>
      <c r="E72" s="123" t="inlineStr">
        <is>
          <t>–</t>
        </is>
      </c>
      <c r="F72" s="124" t="n">
        <v>3.45</v>
      </c>
      <c r="G72" s="125" t="n">
        <v>50</v>
      </c>
      <c r="H72" s="121" t="inlineStr">
        <is>
          <t>–</t>
        </is>
      </c>
      <c r="I72" s="121" t="inlineStr">
        <is>
          <t>R-290</t>
        </is>
      </c>
      <c r="J72" s="129" t="n">
        <v>1379</v>
      </c>
      <c r="K72" s="121" t="inlineStr">
        <is>
          <t>nein</t>
        </is>
      </c>
      <c r="L72" s="122" t="n">
        <v>1500</v>
      </c>
      <c r="M72" s="131" t="inlineStr">
        <is>
          <t>HD24/Haier-Datenblatt (COP 14 °C) – Klasse lt. Haier A+, HD24 nennt fälschlich A+++</t>
        </is>
      </c>
      <c r="N72" s="131" t="inlineStr">
        <is>
          <t>emailliert</t>
        </is>
      </c>
      <c r="O72" s="131" t="inlineStr">
        <is>
          <t>elektronische Anode</t>
        </is>
      </c>
      <c r="P72" s="126">
        <f>IFERROR($B$5/F72,"–")</f>
        <v/>
      </c>
      <c r="Q72" s="127">
        <f>IFERROR($D$5*$B$5/F72,"–")</f>
        <v/>
      </c>
    </row>
    <row r="73" ht="20" customHeight="1">
      <c r="A73" s="130" t="inlineStr">
        <is>
          <t>Haier HP250M7C-F9</t>
        </is>
      </c>
      <c r="B73" s="114" t="inlineStr">
        <is>
          <t>–</t>
        </is>
      </c>
      <c r="C73" s="114" t="inlineStr">
        <is>
          <t>A+</t>
        </is>
      </c>
      <c r="D73" s="115" t="n">
        <v>240</v>
      </c>
      <c r="E73" s="116" t="inlineStr">
        <is>
          <t>–</t>
        </is>
      </c>
      <c r="F73" s="117" t="n">
        <v>3.45</v>
      </c>
      <c r="G73" s="118" t="n">
        <v>50</v>
      </c>
      <c r="H73" s="114" t="inlineStr">
        <is>
          <t>–</t>
        </is>
      </c>
      <c r="I73" s="114" t="inlineStr">
        <is>
          <t>R-290</t>
        </is>
      </c>
      <c r="J73" s="128" t="n">
        <v>1549</v>
      </c>
      <c r="K73" s="114" t="inlineStr">
        <is>
          <t>ja (C)</t>
        </is>
      </c>
      <c r="L73" s="115" t="n">
        <v>1500</v>
      </c>
      <c r="M73" s="130" t="inlineStr">
        <is>
          <t>HD24/Haier-Datenblatt (COP 14 °C) – Klasse lt. Haier A+, HD24 nennt fälschlich A+++</t>
        </is>
      </c>
      <c r="N73" s="130" t="inlineStr">
        <is>
          <t>emailliert</t>
        </is>
      </c>
      <c r="O73" s="130" t="inlineStr">
        <is>
          <t>elektronische Anode</t>
        </is>
      </c>
      <c r="P73" s="119">
        <f>IFERROR($B$5/F73,"–")</f>
        <v/>
      </c>
      <c r="Q73" s="120">
        <f>IFERROR($D$5*$B$5/F73,"–")</f>
        <v/>
      </c>
    </row>
    <row r="74" ht="20" customHeight="1">
      <c r="A74" s="131" t="inlineStr">
        <is>
          <t>Daikin Altherma M HW 260 (EKHHE260CV37)</t>
        </is>
      </c>
      <c r="B74" s="121" t="inlineStr">
        <is>
          <t>–</t>
        </is>
      </c>
      <c r="C74" s="121" t="inlineStr">
        <is>
          <t>A+</t>
        </is>
      </c>
      <c r="D74" s="122" t="n">
        <v>250</v>
      </c>
      <c r="E74" s="123" t="n">
        <v>1.38</v>
      </c>
      <c r="F74" s="124">
        <f>E74*$B$4</f>
        <v/>
      </c>
      <c r="G74" s="125" t="n">
        <v>51</v>
      </c>
      <c r="H74" s="124" t="n">
        <v>71</v>
      </c>
      <c r="I74" s="121" t="inlineStr">
        <is>
          <t>R-134a</t>
        </is>
      </c>
      <c r="J74" s="129" t="n">
        <v>2059</v>
      </c>
      <c r="K74" s="121" t="inlineStr">
        <is>
          <t>nein</t>
        </is>
      </c>
      <c r="L74" s="122" t="n">
        <v>1500</v>
      </c>
      <c r="M74" s="131" t="inlineStr">
        <is>
          <t>HD24 (ηwh_m × Faktor)</t>
        </is>
      </c>
      <c r="N74" s="131" t="inlineStr">
        <is>
          <t>emaillierter Stahl</t>
        </is>
      </c>
      <c r="O74" s="131" t="inlineStr">
        <is>
          <t>–</t>
        </is>
      </c>
      <c r="P74" s="126">
        <f>IFERROR($B$5/F74,"–")</f>
        <v/>
      </c>
      <c r="Q74" s="127">
        <f>IFERROR($D$5*$B$5/F74,"–")</f>
        <v/>
      </c>
    </row>
    <row r="75" ht="20" customHeight="1">
      <c r="A75" s="130" t="inlineStr">
        <is>
          <t>Daikin Altherma M HW 260 Biv (EKHHE260PCV37)</t>
        </is>
      </c>
      <c r="B75" s="114" t="inlineStr">
        <is>
          <t>–</t>
        </is>
      </c>
      <c r="C75" s="114" t="inlineStr">
        <is>
          <t>A+</t>
        </is>
      </c>
      <c r="D75" s="115" t="n">
        <v>247</v>
      </c>
      <c r="E75" s="116" t="n">
        <v>1.38</v>
      </c>
      <c r="F75" s="117">
        <f>E75*$B$4</f>
        <v/>
      </c>
      <c r="G75" s="118" t="n">
        <v>51</v>
      </c>
      <c r="H75" s="117" t="n">
        <v>71</v>
      </c>
      <c r="I75" s="114" t="inlineStr">
        <is>
          <t>R-134a</t>
        </is>
      </c>
      <c r="J75" s="128" t="n">
        <v>2098</v>
      </c>
      <c r="K75" s="114" t="inlineStr">
        <is>
          <t>ja (Biv)</t>
        </is>
      </c>
      <c r="L75" s="115" t="n">
        <v>1500</v>
      </c>
      <c r="M75" s="130" t="inlineStr">
        <is>
          <t>HD24 (ηwh_m × Faktor) · WT 0,72 m²</t>
        </is>
      </c>
      <c r="N75" s="130" t="inlineStr">
        <is>
          <t>emaillierter Stahl</t>
        </is>
      </c>
      <c r="O75" s="130" t="inlineStr">
        <is>
          <t>–</t>
        </is>
      </c>
      <c r="P75" s="119">
        <f>IFERROR($B$5/F75,"–")</f>
        <v/>
      </c>
      <c r="Q75" s="120">
        <f>IFERROR($D$5*$B$5/F75,"–")</f>
        <v/>
      </c>
    </row>
    <row r="76" ht="20" customHeight="1">
      <c r="A76" s="131" t="inlineStr">
        <is>
          <t>Bösch MCB270</t>
        </is>
      </c>
      <c r="B76" s="121" t="inlineStr">
        <is>
          <t>19.02.2028</t>
        </is>
      </c>
      <c r="C76" s="121" t="inlineStr">
        <is>
          <t>A+</t>
        </is>
      </c>
      <c r="D76" s="122" t="n">
        <v>260</v>
      </c>
      <c r="E76" s="123" t="n">
        <v>1.37</v>
      </c>
      <c r="F76" s="124">
        <f>E76*$B$4</f>
        <v/>
      </c>
      <c r="G76" s="125" t="n">
        <v>51</v>
      </c>
      <c r="H76" s="124" t="n">
        <v>0</v>
      </c>
      <c r="I76" s="121" t="inlineStr">
        <is>
          <t>R-290</t>
        </is>
      </c>
      <c r="J76" s="121" t="inlineStr">
        <is>
          <t>–</t>
        </is>
      </c>
      <c r="K76" s="121" t="inlineStr">
        <is>
          <t>–</t>
        </is>
      </c>
      <c r="L76" s="121" t="inlineStr">
        <is>
          <t>–</t>
        </is>
      </c>
      <c r="M76" s="131" t="inlineStr">
        <is>
          <t>GET-DB (ηwh_m × Faktor)</t>
        </is>
      </c>
      <c r="N76" s="131" t="inlineStr">
        <is>
          <t>–</t>
        </is>
      </c>
      <c r="O76" s="131" t="inlineStr">
        <is>
          <t>–</t>
        </is>
      </c>
      <c r="P76" s="126">
        <f>IFERROR($B$5/F76,"–")</f>
        <v/>
      </c>
      <c r="Q76" s="127">
        <f>IFERROR($D$5*$B$5/F76,"–")</f>
        <v/>
      </c>
    </row>
    <row r="77" ht="20" customHeight="1">
      <c r="A77" s="130" t="inlineStr">
        <is>
          <t>Bösch MCB270R</t>
        </is>
      </c>
      <c r="B77" s="114" t="inlineStr">
        <is>
          <t>19.02.2028</t>
        </is>
      </c>
      <c r="C77" s="114" t="inlineStr">
        <is>
          <t>A+</t>
        </is>
      </c>
      <c r="D77" s="115" t="n">
        <v>260</v>
      </c>
      <c r="E77" s="116" t="n">
        <v>1.37</v>
      </c>
      <c r="F77" s="117">
        <f>E77*$B$4</f>
        <v/>
      </c>
      <c r="G77" s="118" t="n">
        <v>51</v>
      </c>
      <c r="H77" s="117" t="n">
        <v>0</v>
      </c>
      <c r="I77" s="114" t="inlineStr">
        <is>
          <t>R-290</t>
        </is>
      </c>
      <c r="J77" s="114" t="inlineStr">
        <is>
          <t>–</t>
        </is>
      </c>
      <c r="K77" s="114" t="inlineStr">
        <is>
          <t>–</t>
        </is>
      </c>
      <c r="L77" s="114" t="inlineStr">
        <is>
          <t>–</t>
        </is>
      </c>
      <c r="M77" s="130" t="inlineStr">
        <is>
          <t>GET-DB (ηwh_m × Faktor)</t>
        </is>
      </c>
      <c r="N77" s="130" t="inlineStr">
        <is>
          <t>–</t>
        </is>
      </c>
      <c r="O77" s="130" t="inlineStr">
        <is>
          <t>–</t>
        </is>
      </c>
      <c r="P77" s="119">
        <f>IFERROR($B$5/F77,"–")</f>
        <v/>
      </c>
      <c r="Q77" s="120">
        <f>IFERROR($D$5*$B$5/F77,"–")</f>
        <v/>
      </c>
    </row>
    <row r="78" ht="20" customHeight="1">
      <c r="A78" s="131" t="inlineStr">
        <is>
          <t>Viessmann Vitocal 262-A T2W-R290</t>
        </is>
      </c>
      <c r="B78" s="121" t="inlineStr">
        <is>
          <t>08.04.2027</t>
        </is>
      </c>
      <c r="C78" s="121" t="inlineStr">
        <is>
          <t>A+</t>
        </is>
      </c>
      <c r="D78" s="122" t="n">
        <v>0</v>
      </c>
      <c r="E78" s="123" t="n">
        <v>1.37</v>
      </c>
      <c r="F78" s="124">
        <f>E78*$B$4</f>
        <v/>
      </c>
      <c r="G78" s="125" t="n">
        <v>53</v>
      </c>
      <c r="H78" s="124" t="n">
        <v>0</v>
      </c>
      <c r="I78" s="121" t="inlineStr">
        <is>
          <t>R-290</t>
        </is>
      </c>
      <c r="J78" s="121" t="inlineStr">
        <is>
          <t>–</t>
        </is>
      </c>
      <c r="K78" s="121" t="inlineStr">
        <is>
          <t>–</t>
        </is>
      </c>
      <c r="L78" s="121" t="inlineStr">
        <is>
          <t>–</t>
        </is>
      </c>
      <c r="M78" s="131" t="inlineStr">
        <is>
          <t>GET-DB (ηwh_m × Faktor)</t>
        </is>
      </c>
      <c r="N78" s="131" t="inlineStr">
        <is>
          <t>emailliert (Ceraprotect)</t>
        </is>
      </c>
      <c r="O78" s="131" t="inlineStr">
        <is>
          <t>Magnesiumanode (elektr. überwacht)</t>
        </is>
      </c>
      <c r="P78" s="126">
        <f>IFERROR($B$5/F78,"–")</f>
        <v/>
      </c>
      <c r="Q78" s="127">
        <f>IFERROR($D$5*$B$5/F78,"–")</f>
        <v/>
      </c>
    </row>
    <row r="79" ht="20" customHeight="1">
      <c r="A79" s="130" t="inlineStr">
        <is>
          <t>Viessmann Vitocal 161-A WWK 161.A02</t>
        </is>
      </c>
      <c r="B79" s="114" t="inlineStr">
        <is>
          <t>06.11.2019</t>
        </is>
      </c>
      <c r="C79" s="114" t="inlineStr">
        <is>
          <t>A+</t>
        </is>
      </c>
      <c r="D79" s="115" t="n">
        <v>308</v>
      </c>
      <c r="E79" s="116" t="n">
        <v>1.36</v>
      </c>
      <c r="F79" s="117">
        <f>E79*$B$4</f>
        <v/>
      </c>
      <c r="G79" s="118" t="n">
        <v>56</v>
      </c>
      <c r="H79" s="117" t="n">
        <v>2.5</v>
      </c>
      <c r="I79" s="114" t="inlineStr">
        <is>
          <t>R-134a</t>
        </is>
      </c>
      <c r="J79" s="114" t="inlineStr">
        <is>
          <t>–</t>
        </is>
      </c>
      <c r="K79" s="114" t="inlineStr">
        <is>
          <t>–</t>
        </is>
      </c>
      <c r="L79" s="114" t="inlineStr">
        <is>
          <t>–</t>
        </is>
      </c>
      <c r="M79" s="130" t="inlineStr">
        <is>
          <t>GET-DB (ηwh_m × Faktor)</t>
        </is>
      </c>
      <c r="N79" s="130" t="inlineStr">
        <is>
          <t>emailliert (Ceraprotect)</t>
        </is>
      </c>
      <c r="O79" s="130" t="inlineStr">
        <is>
          <t>–</t>
        </is>
      </c>
      <c r="P79" s="119">
        <f>IFERROR($B$5/F79,"–")</f>
        <v/>
      </c>
      <c r="Q79" s="120">
        <f>IFERROR($D$5*$B$5/F79,"–")</f>
        <v/>
      </c>
    </row>
    <row r="80" ht="20" customHeight="1">
      <c r="A80" s="131" t="inlineStr">
        <is>
          <t>Viessmann Vitocal 161-A WWKS 161.A02</t>
        </is>
      </c>
      <c r="B80" s="121" t="inlineStr">
        <is>
          <t>06.11.2019</t>
        </is>
      </c>
      <c r="C80" s="121" t="inlineStr">
        <is>
          <t>A+</t>
        </is>
      </c>
      <c r="D80" s="122" t="n">
        <v>300</v>
      </c>
      <c r="E80" s="123" t="n">
        <v>1.36</v>
      </c>
      <c r="F80" s="124">
        <f>E80*$B$4</f>
        <v/>
      </c>
      <c r="G80" s="125" t="n">
        <v>56</v>
      </c>
      <c r="H80" s="124" t="n">
        <v>2.5</v>
      </c>
      <c r="I80" s="121" t="inlineStr">
        <is>
          <t>R-134a</t>
        </is>
      </c>
      <c r="J80" s="121" t="inlineStr">
        <is>
          <t>–</t>
        </is>
      </c>
      <c r="K80" s="121" t="inlineStr">
        <is>
          <t>–</t>
        </is>
      </c>
      <c r="L80" s="121" t="inlineStr">
        <is>
          <t>–</t>
        </is>
      </c>
      <c r="M80" s="131" t="inlineStr">
        <is>
          <t>GET-DB (ηwh_m × Faktor)</t>
        </is>
      </c>
      <c r="N80" s="131" t="inlineStr">
        <is>
          <t>emailliert (Ceraprotect)</t>
        </is>
      </c>
      <c r="O80" s="131" t="inlineStr">
        <is>
          <t>–</t>
        </is>
      </c>
      <c r="P80" s="126">
        <f>IFERROR($B$5/F80,"–")</f>
        <v/>
      </c>
      <c r="Q80" s="127">
        <f>IFERROR($D$5*$B$5/F80,"–")</f>
        <v/>
      </c>
    </row>
    <row r="81" ht="20" customHeight="1">
      <c r="A81" s="130" t="inlineStr">
        <is>
          <t>Vaillant aroSTOR plus VWL BM 260/6</t>
        </is>
      </c>
      <c r="B81" s="114" t="inlineStr">
        <is>
          <t>02.12.2028</t>
        </is>
      </c>
      <c r="C81" s="114" t="inlineStr">
        <is>
          <t>A+</t>
        </is>
      </c>
      <c r="D81" s="115" t="n">
        <v>252</v>
      </c>
      <c r="E81" s="116" t="n">
        <v>1.35</v>
      </c>
      <c r="F81" s="117">
        <f>E81*$B$4</f>
        <v/>
      </c>
      <c r="G81" s="118" t="n">
        <v>54</v>
      </c>
      <c r="H81" s="117" t="n">
        <v>1.77</v>
      </c>
      <c r="I81" s="114" t="inlineStr">
        <is>
          <t>R-290</t>
        </is>
      </c>
      <c r="J81" s="128" t="n">
        <v>2549</v>
      </c>
      <c r="K81" s="114" t="inlineStr">
        <is>
          <t>ja (BM)</t>
        </is>
      </c>
      <c r="L81" s="115" t="n">
        <v>1500</v>
      </c>
      <c r="M81" s="130" t="inlineStr">
        <is>
          <t>GET-DB + HD24 · WT 1,05 m²</t>
        </is>
      </c>
      <c r="N81" s="130" t="inlineStr">
        <is>
          <t>emaillierter Stahl</t>
        </is>
      </c>
      <c r="O81" s="130" t="inlineStr">
        <is>
          <t>Magnesium-Schutzanode (von außen messbar)</t>
        </is>
      </c>
      <c r="P81" s="119">
        <f>IFERROR($B$5/F81,"–")</f>
        <v/>
      </c>
      <c r="Q81" s="120">
        <f>IFERROR($D$5*$B$5/F81,"–")</f>
        <v/>
      </c>
    </row>
    <row r="82" ht="20" customHeight="1">
      <c r="A82" s="131" t="inlineStr">
        <is>
          <t>Daikin Altherma M HW 200 (EKHHE200CV37)</t>
        </is>
      </c>
      <c r="B82" s="121" t="inlineStr">
        <is>
          <t>–</t>
        </is>
      </c>
      <c r="C82" s="121" t="inlineStr">
        <is>
          <t>A+</t>
        </is>
      </c>
      <c r="D82" s="122" t="n">
        <v>192</v>
      </c>
      <c r="E82" s="123" t="n">
        <v>1.35</v>
      </c>
      <c r="F82" s="124">
        <f>E82*$B$4</f>
        <v/>
      </c>
      <c r="G82" s="125" t="n">
        <v>53</v>
      </c>
      <c r="H82" s="124" t="n">
        <v>63</v>
      </c>
      <c r="I82" s="121" t="inlineStr">
        <is>
          <t>R-134a</t>
        </is>
      </c>
      <c r="J82" s="129" t="n">
        <v>1749</v>
      </c>
      <c r="K82" s="121" t="inlineStr">
        <is>
          <t>nein</t>
        </is>
      </c>
      <c r="L82" s="122" t="n">
        <v>1500</v>
      </c>
      <c r="M82" s="131" t="inlineStr">
        <is>
          <t>HD24 (ηwh_m × Faktor)</t>
        </is>
      </c>
      <c r="N82" s="131" t="inlineStr">
        <is>
          <t>emaillierter Stahl</t>
        </is>
      </c>
      <c r="O82" s="131" t="inlineStr">
        <is>
          <t>–</t>
        </is>
      </c>
      <c r="P82" s="126">
        <f>IFERROR($B$5/F82,"–")</f>
        <v/>
      </c>
      <c r="Q82" s="127">
        <f>IFERROR($D$5*$B$5/F82,"–")</f>
        <v/>
      </c>
    </row>
    <row r="83" ht="20" customHeight="1">
      <c r="A83" s="130" t="inlineStr">
        <is>
          <t>Daikin Altherma M HW 200 Biv (EKHHE200PCV37)</t>
        </is>
      </c>
      <c r="B83" s="114" t="inlineStr">
        <is>
          <t>–</t>
        </is>
      </c>
      <c r="C83" s="114" t="inlineStr">
        <is>
          <t>A+</t>
        </is>
      </c>
      <c r="D83" s="115" t="n">
        <v>187</v>
      </c>
      <c r="E83" s="116" t="n">
        <v>1.35</v>
      </c>
      <c r="F83" s="117">
        <f>E83*$B$4</f>
        <v/>
      </c>
      <c r="G83" s="118" t="n">
        <v>53</v>
      </c>
      <c r="H83" s="117" t="n">
        <v>63</v>
      </c>
      <c r="I83" s="114" t="inlineStr">
        <is>
          <t>R-134a</t>
        </is>
      </c>
      <c r="J83" s="128" t="n">
        <v>1869</v>
      </c>
      <c r="K83" s="114" t="inlineStr">
        <is>
          <t>ja (Biv)</t>
        </is>
      </c>
      <c r="L83" s="115" t="n">
        <v>1500</v>
      </c>
      <c r="M83" s="130" t="inlineStr">
        <is>
          <t>HD24 (ηwh_m × Faktor) · WT 0,72 m²</t>
        </is>
      </c>
      <c r="N83" s="130" t="inlineStr">
        <is>
          <t>emaillierter Stahl</t>
        </is>
      </c>
      <c r="O83" s="130" t="inlineStr">
        <is>
          <t>–</t>
        </is>
      </c>
      <c r="P83" s="119">
        <f>IFERROR($B$5/F83,"–")</f>
        <v/>
      </c>
      <c r="Q83" s="120">
        <f>IFERROR($D$5*$B$5/F83,"–")</f>
        <v/>
      </c>
    </row>
    <row r="84" ht="20" customHeight="1">
      <c r="A84" s="131" t="inlineStr">
        <is>
          <t>Junkers Bosch Compress 5000 DW CS5001DW 260</t>
        </is>
      </c>
      <c r="B84" s="121" t="inlineStr">
        <is>
          <t>–</t>
        </is>
      </c>
      <c r="C84" s="121" t="inlineStr">
        <is>
          <t>A+</t>
        </is>
      </c>
      <c r="D84" s="122" t="n">
        <v>260</v>
      </c>
      <c r="E84" s="123" t="n">
        <v>1.34</v>
      </c>
      <c r="F84" s="124">
        <f>E84*$B$4</f>
        <v/>
      </c>
      <c r="G84" s="125" t="n">
        <v>56</v>
      </c>
      <c r="H84" s="121" t="inlineStr">
        <is>
          <t>–</t>
        </is>
      </c>
      <c r="I84" s="121" t="inlineStr">
        <is>
          <t>R-513A</t>
        </is>
      </c>
      <c r="J84" s="129" t="n">
        <v>2669</v>
      </c>
      <c r="K84" s="121" t="inlineStr">
        <is>
          <t>nein</t>
        </is>
      </c>
      <c r="L84" s="122" t="n">
        <v>1500</v>
      </c>
      <c r="M84" s="131" t="inlineStr">
        <is>
          <t>HD24 (ηwh_m × Faktor)</t>
        </is>
      </c>
      <c r="N84" s="131" t="inlineStr">
        <is>
          <t>emailliert</t>
        </is>
      </c>
      <c r="O84" s="131" t="inlineStr">
        <is>
          <t>Magnesiumanode</t>
        </is>
      </c>
      <c r="P84" s="126">
        <f>IFERROR($B$5/F84,"–")</f>
        <v/>
      </c>
      <c r="Q84" s="127">
        <f>IFERROR($D$5*$B$5/F84,"–")</f>
        <v/>
      </c>
    </row>
    <row r="85" ht="20" customHeight="1">
      <c r="A85" s="130" t="inlineStr">
        <is>
          <t>Junkers Bosch Compress 5000 DW CS5001DW 260 C</t>
        </is>
      </c>
      <c r="B85" s="114" t="inlineStr">
        <is>
          <t>–</t>
        </is>
      </c>
      <c r="C85" s="114" t="inlineStr">
        <is>
          <t>A+</t>
        </is>
      </c>
      <c r="D85" s="115" t="n">
        <v>251</v>
      </c>
      <c r="E85" s="116" t="n">
        <v>1.34</v>
      </c>
      <c r="F85" s="117">
        <f>E85*$B$4</f>
        <v/>
      </c>
      <c r="G85" s="118" t="n">
        <v>56</v>
      </c>
      <c r="H85" s="114" t="inlineStr">
        <is>
          <t>–</t>
        </is>
      </c>
      <c r="I85" s="114" t="inlineStr">
        <is>
          <t>R-513A</t>
        </is>
      </c>
      <c r="J85" s="128" t="n">
        <v>2729</v>
      </c>
      <c r="K85" s="114" t="inlineStr">
        <is>
          <t>ja (C)</t>
        </is>
      </c>
      <c r="L85" s="115" t="n">
        <v>1500</v>
      </c>
      <c r="M85" s="130" t="inlineStr">
        <is>
          <t>HD24 (ηwh_m × Faktor)</t>
        </is>
      </c>
      <c r="N85" s="130" t="inlineStr">
        <is>
          <t>emailliert</t>
        </is>
      </c>
      <c r="O85" s="130" t="inlineStr">
        <is>
          <t>Magnesiumanode</t>
        </is>
      </c>
      <c r="P85" s="119">
        <f>IFERROR($B$5/F85,"–")</f>
        <v/>
      </c>
      <c r="Q85" s="120">
        <f>IFERROR($D$5*$B$5/F85,"–")</f>
        <v/>
      </c>
    </row>
    <row r="86" ht="20" customHeight="1">
      <c r="A86" s="131" t="inlineStr">
        <is>
          <t>Buderus WPT260.4 AS Logatherm</t>
        </is>
      </c>
      <c r="B86" s="121" t="inlineStr">
        <is>
          <t>–</t>
        </is>
      </c>
      <c r="C86" s="121" t="inlineStr">
        <is>
          <t>A+</t>
        </is>
      </c>
      <c r="D86" s="122" t="n">
        <v>251</v>
      </c>
      <c r="E86" s="123" t="n">
        <v>1.34</v>
      </c>
      <c r="F86" s="124">
        <f>E86*$B$4</f>
        <v/>
      </c>
      <c r="G86" s="125" t="n">
        <v>56</v>
      </c>
      <c r="H86" s="121" t="inlineStr">
        <is>
          <t>–</t>
        </is>
      </c>
      <c r="I86" s="121" t="inlineStr">
        <is>
          <t>R-513A</t>
        </is>
      </c>
      <c r="J86" s="129" t="n">
        <v>2029</v>
      </c>
      <c r="K86" s="121" t="inlineStr">
        <is>
          <t>ja (AS)</t>
        </is>
      </c>
      <c r="L86" s="122" t="n">
        <v>1500</v>
      </c>
      <c r="M86" s="131" t="inlineStr">
        <is>
          <t>HD24 (ηwh_m × Faktor) · WT 1,2 m²</t>
        </is>
      </c>
      <c r="N86" s="131" t="inlineStr">
        <is>
          <t>emailliert</t>
        </is>
      </c>
      <c r="O86" s="131" t="inlineStr">
        <is>
          <t>Magnesiumanode</t>
        </is>
      </c>
      <c r="P86" s="126">
        <f>IFERROR($B$5/F86,"–")</f>
        <v/>
      </c>
      <c r="Q86" s="127">
        <f>IFERROR($D$5*$B$5/F86,"–")</f>
        <v/>
      </c>
    </row>
    <row r="87" ht="20" customHeight="1">
      <c r="A87" s="130" t="inlineStr">
        <is>
          <t>Herz commotherm BWP 300</t>
        </is>
      </c>
      <c r="B87" s="114" t="inlineStr">
        <is>
          <t>14.03.2028</t>
        </is>
      </c>
      <c r="C87" s="114" t="inlineStr">
        <is>
          <t>A+</t>
        </is>
      </c>
      <c r="D87" s="115" t="n">
        <v>300</v>
      </c>
      <c r="E87" s="116" t="n">
        <v>1.334</v>
      </c>
      <c r="F87" s="117">
        <f>E87*$B$4</f>
        <v/>
      </c>
      <c r="G87" s="118" t="n">
        <v>50</v>
      </c>
      <c r="H87" s="117" t="n">
        <v>0</v>
      </c>
      <c r="I87" s="114" t="inlineStr">
        <is>
          <t>R-134a</t>
        </is>
      </c>
      <c r="J87" s="114" t="inlineStr">
        <is>
          <t>–</t>
        </is>
      </c>
      <c r="K87" s="114" t="inlineStr">
        <is>
          <t>–</t>
        </is>
      </c>
      <c r="L87" s="114" t="inlineStr">
        <is>
          <t>–</t>
        </is>
      </c>
      <c r="M87" s="130" t="inlineStr">
        <is>
          <t>GET-DB (ηwh_m × Faktor)</t>
        </is>
      </c>
      <c r="N87" s="130" t="inlineStr">
        <is>
          <t>–</t>
        </is>
      </c>
      <c r="O87" s="130" t="inlineStr">
        <is>
          <t>–</t>
        </is>
      </c>
      <c r="P87" s="119">
        <f>IFERROR($B$5/F87,"–")</f>
        <v/>
      </c>
      <c r="Q87" s="120">
        <f>IFERROR($D$5*$B$5/F87,"–")</f>
        <v/>
      </c>
    </row>
    <row r="88" ht="20" customHeight="1">
      <c r="A88" s="131" t="inlineStr">
        <is>
          <t>KWB EmpaAir 300 AR KWB EmpaAir 300 AR</t>
        </is>
      </c>
      <c r="B88" s="121" t="inlineStr">
        <is>
          <t>18.11.2027</t>
        </is>
      </c>
      <c r="C88" s="121" t="inlineStr">
        <is>
          <t>A+</t>
        </is>
      </c>
      <c r="D88" s="122" t="n">
        <v>291</v>
      </c>
      <c r="E88" s="123" t="n">
        <v>1.33</v>
      </c>
      <c r="F88" s="124">
        <f>E88*$B$4</f>
        <v/>
      </c>
      <c r="G88" s="125" t="n">
        <v>52</v>
      </c>
      <c r="H88" s="124" t="n">
        <v>0</v>
      </c>
      <c r="I88" s="121" t="inlineStr">
        <is>
          <t>R-134a</t>
        </is>
      </c>
      <c r="J88" s="121" t="inlineStr">
        <is>
          <t>–</t>
        </is>
      </c>
      <c r="K88" s="121" t="inlineStr">
        <is>
          <t>–</t>
        </is>
      </c>
      <c r="L88" s="121" t="inlineStr">
        <is>
          <t>–</t>
        </is>
      </c>
      <c r="M88" s="131" t="inlineStr">
        <is>
          <t>GET-DB (ηwh_m × Faktor)</t>
        </is>
      </c>
      <c r="N88" s="131" t="inlineStr">
        <is>
          <t>–</t>
        </is>
      </c>
      <c r="O88" s="131" t="inlineStr">
        <is>
          <t>–</t>
        </is>
      </c>
      <c r="P88" s="126">
        <f>IFERROR($B$5/F88,"–")</f>
        <v/>
      </c>
      <c r="Q88" s="127">
        <f>IFERROR($D$5*$B$5/F88,"–")</f>
        <v/>
      </c>
    </row>
    <row r="89" ht="20" customHeight="1">
      <c r="A89" s="130" t="inlineStr">
        <is>
          <t>Stiebel Eltron WWK 301 electronic SOL</t>
        </is>
      </c>
      <c r="B89" s="114" t="inlineStr">
        <is>
          <t>18.11.2027</t>
        </is>
      </c>
      <c r="C89" s="114" t="inlineStr">
        <is>
          <t>A+</t>
        </is>
      </c>
      <c r="D89" s="115" t="n">
        <v>291</v>
      </c>
      <c r="E89" s="116" t="n">
        <v>1.33</v>
      </c>
      <c r="F89" s="117">
        <f>E89*$B$4</f>
        <v/>
      </c>
      <c r="G89" s="118" t="n">
        <v>52</v>
      </c>
      <c r="H89" s="117" t="n">
        <v>1.6</v>
      </c>
      <c r="I89" s="114" t="inlineStr">
        <is>
          <t>R-134a</t>
        </is>
      </c>
      <c r="J89" s="114" t="inlineStr">
        <is>
          <t>–</t>
        </is>
      </c>
      <c r="K89" s="114" t="inlineStr">
        <is>
          <t>–</t>
        </is>
      </c>
      <c r="L89" s="114" t="inlineStr">
        <is>
          <t>–</t>
        </is>
      </c>
      <c r="M89" s="130" t="inlineStr">
        <is>
          <t>GET-DB (ηwh_m × Faktor)</t>
        </is>
      </c>
      <c r="N89" s="130" t="inlineStr">
        <is>
          <t>emailliert (Spezialemaillierung)</t>
        </is>
      </c>
      <c r="O89" s="130" t="inlineStr">
        <is>
          <t>Fremdstromanode</t>
        </is>
      </c>
      <c r="P89" s="119">
        <f>IFERROR($B$5/F89,"–")</f>
        <v/>
      </c>
      <c r="Q89" s="120">
        <f>IFERROR($D$5*$B$5/F89,"–")</f>
        <v/>
      </c>
    </row>
    <row r="90" ht="20" customHeight="1">
      <c r="A90" s="131" t="inlineStr">
        <is>
          <t>Bösch MCB200</t>
        </is>
      </c>
      <c r="B90" s="121" t="inlineStr">
        <is>
          <t>19.02.2028</t>
        </is>
      </c>
      <c r="C90" s="121" t="inlineStr">
        <is>
          <t>A+</t>
        </is>
      </c>
      <c r="D90" s="122" t="n">
        <v>200</v>
      </c>
      <c r="E90" s="123" t="n">
        <v>1.32</v>
      </c>
      <c r="F90" s="124">
        <f>E90*$B$4</f>
        <v/>
      </c>
      <c r="G90" s="125" t="n">
        <v>51</v>
      </c>
      <c r="H90" s="124" t="n">
        <v>0</v>
      </c>
      <c r="I90" s="121" t="inlineStr">
        <is>
          <t>R-290</t>
        </is>
      </c>
      <c r="J90" s="121" t="inlineStr">
        <is>
          <t>–</t>
        </is>
      </c>
      <c r="K90" s="121" t="inlineStr">
        <is>
          <t>–</t>
        </is>
      </c>
      <c r="L90" s="121" t="inlineStr">
        <is>
          <t>–</t>
        </is>
      </c>
      <c r="M90" s="131" t="inlineStr">
        <is>
          <t>GET-DB (ηwh_m × Faktor)</t>
        </is>
      </c>
      <c r="N90" s="131" t="inlineStr">
        <is>
          <t>–</t>
        </is>
      </c>
      <c r="O90" s="131" t="inlineStr">
        <is>
          <t>–</t>
        </is>
      </c>
      <c r="P90" s="126">
        <f>IFERROR($B$5/F90,"–")</f>
        <v/>
      </c>
      <c r="Q90" s="127">
        <f>IFERROR($D$5*$B$5/F90,"–")</f>
        <v/>
      </c>
    </row>
    <row r="91" ht="20" customHeight="1">
      <c r="A91" s="130" t="inlineStr">
        <is>
          <t>Stiebel Eltron WWK 301 electronic</t>
        </is>
      </c>
      <c r="B91" s="114" t="inlineStr">
        <is>
          <t>18.11.2024</t>
        </is>
      </c>
      <c r="C91" s="114" t="inlineStr">
        <is>
          <t>A+</t>
        </is>
      </c>
      <c r="D91" s="115" t="n">
        <v>302</v>
      </c>
      <c r="E91" s="116" t="n">
        <v>1.32</v>
      </c>
      <c r="F91" s="117">
        <f>E91*$B$4</f>
        <v/>
      </c>
      <c r="G91" s="118" t="n">
        <v>52</v>
      </c>
      <c r="H91" s="117" t="n">
        <v>0</v>
      </c>
      <c r="I91" s="114" t="inlineStr">
        <is>
          <t>R-134a</t>
        </is>
      </c>
      <c r="J91" s="114" t="inlineStr">
        <is>
          <t>–</t>
        </is>
      </c>
      <c r="K91" s="114" t="inlineStr">
        <is>
          <t>–</t>
        </is>
      </c>
      <c r="L91" s="114" t="inlineStr">
        <is>
          <t>–</t>
        </is>
      </c>
      <c r="M91" s="130" t="inlineStr">
        <is>
          <t>GET-DB (ηwh_m × Faktor)</t>
        </is>
      </c>
      <c r="N91" s="130" t="inlineStr">
        <is>
          <t>emailliert (Spezialemaillierung)</t>
        </is>
      </c>
      <c r="O91" s="130" t="inlineStr">
        <is>
          <t>Fremdstromanode</t>
        </is>
      </c>
      <c r="P91" s="119">
        <f>IFERROR($B$5/F91,"–")</f>
        <v/>
      </c>
      <c r="Q91" s="120">
        <f>IFERROR($D$5*$B$5/F91,"–")</f>
        <v/>
      </c>
    </row>
    <row r="92" ht="20" customHeight="1">
      <c r="A92" s="131" t="inlineStr">
        <is>
          <t>Viessmann Vitocal 060-A T0E-ze 250l</t>
        </is>
      </c>
      <c r="B92" s="121" t="inlineStr">
        <is>
          <t>21.02.2024</t>
        </is>
      </c>
      <c r="C92" s="121" t="inlineStr">
        <is>
          <t>A+</t>
        </is>
      </c>
      <c r="D92" s="122" t="n">
        <v>250</v>
      </c>
      <c r="E92" s="123" t="n">
        <v>1.32</v>
      </c>
      <c r="F92" s="124">
        <f>E92*$B$4</f>
        <v/>
      </c>
      <c r="G92" s="125" t="n">
        <v>53</v>
      </c>
      <c r="H92" s="124" t="n">
        <v>0.55</v>
      </c>
      <c r="I92" s="121" t="inlineStr">
        <is>
          <t>R-1234ze</t>
        </is>
      </c>
      <c r="J92" s="121" t="inlineStr">
        <is>
          <t>–</t>
        </is>
      </c>
      <c r="K92" s="121" t="inlineStr">
        <is>
          <t>–</t>
        </is>
      </c>
      <c r="L92" s="121" t="inlineStr">
        <is>
          <t>–</t>
        </is>
      </c>
      <c r="M92" s="131" t="inlineStr">
        <is>
          <t>GET-DB (ηwh_m × Faktor)</t>
        </is>
      </c>
      <c r="N92" s="131" t="inlineStr">
        <is>
          <t>emailliert (Ceraprotect)</t>
        </is>
      </c>
      <c r="O92" s="131" t="inlineStr">
        <is>
          <t>–</t>
        </is>
      </c>
      <c r="P92" s="126">
        <f>IFERROR($B$5/F92,"–")</f>
        <v/>
      </c>
      <c r="Q92" s="127">
        <f>IFERROR($D$5*$B$5/F92,"–")</f>
        <v/>
      </c>
    </row>
    <row r="93" ht="20" customHeight="1">
      <c r="A93" s="130" t="inlineStr">
        <is>
          <t>Viessmann Vitocal 060-A T0S-ze 250l</t>
        </is>
      </c>
      <c r="B93" s="114" t="inlineStr">
        <is>
          <t>21.02.2024</t>
        </is>
      </c>
      <c r="C93" s="114" t="inlineStr">
        <is>
          <t>A+</t>
        </is>
      </c>
      <c r="D93" s="115" t="n">
        <v>251</v>
      </c>
      <c r="E93" s="116" t="n">
        <v>1.32</v>
      </c>
      <c r="F93" s="117">
        <f>E93*$B$4</f>
        <v/>
      </c>
      <c r="G93" s="118" t="n">
        <v>50</v>
      </c>
      <c r="H93" s="117" t="n">
        <v>0.57</v>
      </c>
      <c r="I93" s="114" t="inlineStr">
        <is>
          <t>R-1234ze</t>
        </is>
      </c>
      <c r="J93" s="114" t="inlineStr">
        <is>
          <t>–</t>
        </is>
      </c>
      <c r="K93" s="114" t="inlineStr">
        <is>
          <t>–</t>
        </is>
      </c>
      <c r="L93" s="114" t="inlineStr">
        <is>
          <t>–</t>
        </is>
      </c>
      <c r="M93" s="130" t="inlineStr">
        <is>
          <t>GET-DB (ηwh_m × Faktor)</t>
        </is>
      </c>
      <c r="N93" s="130" t="inlineStr">
        <is>
          <t>emailliert (Ceraprotect)</t>
        </is>
      </c>
      <c r="O93" s="130" t="inlineStr">
        <is>
          <t>–</t>
        </is>
      </c>
      <c r="P93" s="119">
        <f>IFERROR($B$5/F93,"–")</f>
        <v/>
      </c>
      <c r="Q93" s="120">
        <f>IFERROR($D$5*$B$5/F93,"–")</f>
        <v/>
      </c>
    </row>
    <row r="94" ht="20" customHeight="1">
      <c r="A94" s="131" t="inlineStr">
        <is>
          <t>Alarko FLR-HWH-300C</t>
        </is>
      </c>
      <c r="B94" s="121" t="inlineStr">
        <is>
          <t>–</t>
        </is>
      </c>
      <c r="C94" s="121" t="inlineStr">
        <is>
          <t>A+</t>
        </is>
      </c>
      <c r="D94" s="122" t="n">
        <v>300</v>
      </c>
      <c r="E94" s="123" t="inlineStr">
        <is>
          <t>–</t>
        </is>
      </c>
      <c r="F94" s="124" t="n">
        <v>3.25</v>
      </c>
      <c r="G94" s="125" t="n">
        <v>54</v>
      </c>
      <c r="H94" s="121" t="inlineStr">
        <is>
          <t>–</t>
        </is>
      </c>
      <c r="I94" s="121" t="inlineStr">
        <is>
          <t>R-290</t>
        </is>
      </c>
      <c r="J94" s="129" t="n">
        <v>1459</v>
      </c>
      <c r="K94" s="121" t="inlineStr">
        <is>
          <t>nein</t>
        </is>
      </c>
      <c r="L94" s="122" t="n">
        <v>1640</v>
      </c>
      <c r="M94" s="131" t="inlineStr">
        <is>
          <t>HD24 (COP EN16147 15/12 °C)</t>
        </is>
      </c>
      <c r="N94" s="131" t="inlineStr">
        <is>
          <t>–</t>
        </is>
      </c>
      <c r="O94" s="131" t="inlineStr">
        <is>
          <t>–</t>
        </is>
      </c>
      <c r="P94" s="126">
        <f>IFERROR($B$5/F94,"–")</f>
        <v/>
      </c>
      <c r="Q94" s="127">
        <f>IFERROR($D$5*$B$5/F94,"–")</f>
        <v/>
      </c>
    </row>
    <row r="95" ht="20" customHeight="1">
      <c r="A95" s="130" t="inlineStr">
        <is>
          <t>Hisense Hi-Water AH-250U4GBB00</t>
        </is>
      </c>
      <c r="B95" s="114" t="inlineStr">
        <is>
          <t>–</t>
        </is>
      </c>
      <c r="C95" s="114" t="inlineStr">
        <is>
          <t>A+</t>
        </is>
      </c>
      <c r="D95" s="115" t="n">
        <v>250</v>
      </c>
      <c r="E95" s="116" t="n">
        <v>1.3</v>
      </c>
      <c r="F95" s="117">
        <f>E95*$B$4</f>
        <v/>
      </c>
      <c r="G95" s="118" t="n">
        <v>53</v>
      </c>
      <c r="H95" s="114" t="inlineStr">
        <is>
          <t>–</t>
        </is>
      </c>
      <c r="I95" s="114" t="inlineStr">
        <is>
          <t>R-290</t>
        </is>
      </c>
      <c r="J95" s="128" t="n">
        <v>1599.49</v>
      </c>
      <c r="K95" s="114" t="inlineStr">
        <is>
          <t>nein</t>
        </is>
      </c>
      <c r="L95" s="115" t="n">
        <v>2000</v>
      </c>
      <c r="M95" s="130" t="inlineStr">
        <is>
          <t>Hisense ES + toms-car-hifi.de (ηwh_m × Faktor, XL)</t>
        </is>
      </c>
      <c r="N95" s="130" t="inlineStr">
        <is>
          <t>–</t>
        </is>
      </c>
      <c r="O95" s="130" t="inlineStr">
        <is>
          <t>–</t>
        </is>
      </c>
      <c r="P95" s="119">
        <f>IFERROR($B$5/F95,"–")</f>
        <v/>
      </c>
      <c r="Q95" s="120">
        <f>IFERROR($D$5*$B$5/F95,"–")</f>
        <v/>
      </c>
    </row>
    <row r="96" ht="20" customHeight="1">
      <c r="A96" s="131" t="inlineStr">
        <is>
          <t>Hisense Hi-Water AH-250U4GBC00</t>
        </is>
      </c>
      <c r="B96" s="121" t="inlineStr">
        <is>
          <t>–</t>
        </is>
      </c>
      <c r="C96" s="121" t="inlineStr">
        <is>
          <t>A+</t>
        </is>
      </c>
      <c r="D96" s="122" t="n">
        <v>250</v>
      </c>
      <c r="E96" s="123" t="n">
        <v>1.3</v>
      </c>
      <c r="F96" s="124">
        <f>E96*$B$4</f>
        <v/>
      </c>
      <c r="G96" s="125" t="n">
        <v>53</v>
      </c>
      <c r="H96" s="121" t="inlineStr">
        <is>
          <t>–</t>
        </is>
      </c>
      <c r="I96" s="121" t="inlineStr">
        <is>
          <t>R-290</t>
        </is>
      </c>
      <c r="J96" s="121" t="inlineStr">
        <is>
          <t>–</t>
        </is>
      </c>
      <c r="K96" s="121" t="inlineStr">
        <is>
          <t>ja (C)</t>
        </is>
      </c>
      <c r="L96" s="122" t="n">
        <v>2000</v>
      </c>
      <c r="M96" s="131" t="inlineStr">
        <is>
          <t>Hisense ES (ηwh_m × Faktor, Wert der baugleichen GBB00)</t>
        </is>
      </c>
      <c r="N96" s="131" t="inlineStr">
        <is>
          <t>–</t>
        </is>
      </c>
      <c r="O96" s="131" t="inlineStr">
        <is>
          <t>–</t>
        </is>
      </c>
      <c r="P96" s="126">
        <f>IFERROR($B$5/F96,"–")</f>
        <v/>
      </c>
      <c r="Q96" s="127">
        <f>IFERROR($D$5*$B$5/F96,"–")</f>
        <v/>
      </c>
    </row>
    <row r="97" ht="20" customHeight="1">
      <c r="A97" s="130" t="inlineStr">
        <is>
          <t>Styleboiler Futura Eco X 300</t>
        </is>
      </c>
      <c r="B97" s="114" t="inlineStr">
        <is>
          <t>–</t>
        </is>
      </c>
      <c r="C97" s="114" t="inlineStr">
        <is>
          <t>A+</t>
        </is>
      </c>
      <c r="D97" s="115" t="n">
        <v>285</v>
      </c>
      <c r="E97" s="116" t="inlineStr">
        <is>
          <t>–</t>
        </is>
      </c>
      <c r="F97" s="117" t="n">
        <v>3.24</v>
      </c>
      <c r="G97" s="118" t="n">
        <v>51</v>
      </c>
      <c r="H97" s="114" t="inlineStr">
        <is>
          <t>–</t>
        </is>
      </c>
      <c r="I97" s="114" t="inlineStr">
        <is>
          <t>R-290</t>
        </is>
      </c>
      <c r="J97" s="128" t="n">
        <v>1879</v>
      </c>
      <c r="K97" s="114" t="inlineStr">
        <is>
          <t>nein</t>
        </is>
      </c>
      <c r="L97" s="115" t="n">
        <v>1500</v>
      </c>
      <c r="M97" s="130" t="inlineStr">
        <is>
          <t>HD24 (COP Hersteller)</t>
        </is>
      </c>
      <c r="N97" s="130" t="inlineStr">
        <is>
          <t>–</t>
        </is>
      </c>
      <c r="O97" s="130" t="inlineStr">
        <is>
          <t>–</t>
        </is>
      </c>
      <c r="P97" s="119">
        <f>IFERROR($B$5/F97,"–")</f>
        <v/>
      </c>
      <c r="Q97" s="120">
        <f>IFERROR($D$5*$B$5/F97,"–")</f>
        <v/>
      </c>
    </row>
    <row r="98" ht="20" customHeight="1">
      <c r="A98" s="131" t="inlineStr">
        <is>
          <t>Styleboiler Futura Eco X 1 WT 300 W</t>
        </is>
      </c>
      <c r="B98" s="121" t="inlineStr">
        <is>
          <t>–</t>
        </is>
      </c>
      <c r="C98" s="121" t="inlineStr">
        <is>
          <t>A+</t>
        </is>
      </c>
      <c r="D98" s="122" t="n">
        <v>285</v>
      </c>
      <c r="E98" s="123" t="inlineStr">
        <is>
          <t>–</t>
        </is>
      </c>
      <c r="F98" s="124" t="n">
        <v>3.24</v>
      </c>
      <c r="G98" s="125" t="n">
        <v>51</v>
      </c>
      <c r="H98" s="121" t="inlineStr">
        <is>
          <t>–</t>
        </is>
      </c>
      <c r="I98" s="121" t="inlineStr">
        <is>
          <t>R-290</t>
        </is>
      </c>
      <c r="J98" s="129" t="n">
        <v>2049</v>
      </c>
      <c r="K98" s="121" t="inlineStr">
        <is>
          <t>ja (WT)</t>
        </is>
      </c>
      <c r="L98" s="122" t="n">
        <v>1500</v>
      </c>
      <c r="M98" s="131" t="inlineStr">
        <is>
          <t>HD24 (COP Hersteller)</t>
        </is>
      </c>
      <c r="N98" s="131" t="inlineStr">
        <is>
          <t>–</t>
        </is>
      </c>
      <c r="O98" s="131" t="inlineStr">
        <is>
          <t>–</t>
        </is>
      </c>
      <c r="P98" s="126">
        <f>IFERROR($B$5/F98,"–")</f>
        <v/>
      </c>
      <c r="Q98" s="127">
        <f>IFERROR($D$5*$B$5/F98,"–")</f>
        <v/>
      </c>
    </row>
    <row r="99" ht="20" customHeight="1">
      <c r="A99" s="130" t="inlineStr">
        <is>
          <t>Hofman Energy Avarma 190, 300 L</t>
        </is>
      </c>
      <c r="B99" s="114" t="inlineStr">
        <is>
          <t>–</t>
        </is>
      </c>
      <c r="C99" s="114" t="inlineStr">
        <is>
          <t>A+</t>
        </is>
      </c>
      <c r="D99" s="115" t="n">
        <v>300</v>
      </c>
      <c r="E99" s="116" t="inlineStr">
        <is>
          <t>–</t>
        </is>
      </c>
      <c r="F99" s="117" t="n">
        <v>3.24</v>
      </c>
      <c r="G99" s="114" t="inlineStr">
        <is>
          <t>–</t>
        </is>
      </c>
      <c r="H99" s="114" t="inlineStr">
        <is>
          <t>–</t>
        </is>
      </c>
      <c r="I99" s="114" t="inlineStr">
        <is>
          <t>R-290</t>
        </is>
      </c>
      <c r="J99" s="128" t="n">
        <v>1799.99</v>
      </c>
      <c r="K99" s="114" t="inlineStr">
        <is>
          <t>ja (Register 2)</t>
        </is>
      </c>
      <c r="L99" s="115" t="n">
        <v>1500</v>
      </c>
      <c r="M99" s="130" t="inlineStr">
        <is>
          <t>hofman-energy.com (COP DHW)</t>
        </is>
      </c>
      <c r="N99" s="130" t="inlineStr">
        <is>
          <t>Edelstahl (Duplex 2205)</t>
        </is>
      </c>
      <c r="O99" s="130" t="inlineStr">
        <is>
          <t>elektronische Anode</t>
        </is>
      </c>
      <c r="P99" s="119">
        <f>IFERROR($B$5/F99,"–")</f>
        <v/>
      </c>
      <c r="Q99" s="120">
        <f>IFERROR($D$5*$B$5/F99,"–")</f>
        <v/>
      </c>
    </row>
    <row r="100" ht="20" customHeight="1">
      <c r="A100" s="131" t="inlineStr">
        <is>
          <t>Austria Email AG AE REVOLUTION EVO 3, 200L WT</t>
        </is>
      </c>
      <c r="B100" s="121" t="inlineStr">
        <is>
          <t>18.03.2029</t>
        </is>
      </c>
      <c r="C100" s="121" t="inlineStr">
        <is>
          <t>A+</t>
        </is>
      </c>
      <c r="D100" s="122" t="n">
        <v>190</v>
      </c>
      <c r="E100" s="123" t="n">
        <v>1.29</v>
      </c>
      <c r="F100" s="124">
        <f>E100*$B$4</f>
        <v/>
      </c>
      <c r="G100" s="125" t="n">
        <v>47</v>
      </c>
      <c r="H100" s="124" t="n">
        <v>0</v>
      </c>
      <c r="I100" s="121" t="inlineStr">
        <is>
          <t>R-290</t>
        </is>
      </c>
      <c r="J100" s="129" t="n">
        <v>1989</v>
      </c>
      <c r="K100" s="121" t="inlineStr">
        <is>
          <t>ja (WT)</t>
        </is>
      </c>
      <c r="L100" s="122" t="n">
        <v>1200</v>
      </c>
      <c r="M100" s="131" t="inlineStr">
        <is>
          <t>GET-DB + HD24 (Explorer Evo 3 200L WT) · WT 1,2 m²</t>
        </is>
      </c>
      <c r="N100" s="131" t="inlineStr">
        <is>
          <t>emailliert</t>
        </is>
      </c>
      <c r="O100" s="131" t="inlineStr">
        <is>
          <t>ACI-Hybrid (Titan/Mg)</t>
        </is>
      </c>
      <c r="P100" s="126">
        <f>IFERROR($B$5/F100,"–")</f>
        <v/>
      </c>
      <c r="Q100" s="127">
        <f>IFERROR($D$5*$B$5/F100,"–")</f>
        <v/>
      </c>
    </row>
    <row r="101" ht="20" customHeight="1">
      <c r="A101" s="130" t="inlineStr">
        <is>
          <t>Dimplex DHW 301P</t>
        </is>
      </c>
      <c r="B101" s="114" t="inlineStr">
        <is>
          <t>28.03.2027</t>
        </is>
      </c>
      <c r="C101" s="114" t="inlineStr">
        <is>
          <t>A+</t>
        </is>
      </c>
      <c r="D101" s="115" t="n">
        <v>270</v>
      </c>
      <c r="E101" s="116" t="n">
        <v>1.29</v>
      </c>
      <c r="F101" s="117">
        <f>E101*$B$4</f>
        <v/>
      </c>
      <c r="G101" s="118" t="n">
        <v>50</v>
      </c>
      <c r="H101" s="117" t="n">
        <v>0</v>
      </c>
      <c r="I101" s="114" t="inlineStr">
        <is>
          <t>R-290</t>
        </is>
      </c>
      <c r="J101" s="114" t="inlineStr">
        <is>
          <t>–</t>
        </is>
      </c>
      <c r="K101" s="114" t="inlineStr">
        <is>
          <t>nein</t>
        </is>
      </c>
      <c r="L101" s="115" t="n">
        <v>1200</v>
      </c>
      <c r="M101" s="130" t="inlineStr">
        <is>
          <t>GET-DB + Dimplex-Montageanweisung (ηwh_m × Faktor)</t>
        </is>
      </c>
      <c r="N101" s="130" t="inlineStr">
        <is>
          <t>Stahl emailliert</t>
        </is>
      </c>
      <c r="O101" s="130" t="inlineStr">
        <is>
          <t>Magnesium-Opferanode</t>
        </is>
      </c>
      <c r="P101" s="119">
        <f>IFERROR($B$5/F101,"–")</f>
        <v/>
      </c>
      <c r="Q101" s="120">
        <f>IFERROR($D$5*$B$5/F101,"–")</f>
        <v/>
      </c>
    </row>
    <row r="102" ht="20" customHeight="1">
      <c r="A102" s="131" t="inlineStr">
        <is>
          <t>OCHSNER EUROPA Mini IWP</t>
        </is>
      </c>
      <c r="B102" s="121" t="inlineStr">
        <is>
          <t>22.06.2027</t>
        </is>
      </c>
      <c r="C102" s="121" t="inlineStr">
        <is>
          <t>A+</t>
        </is>
      </c>
      <c r="D102" s="122" t="n">
        <v>305</v>
      </c>
      <c r="E102" s="123" t="n">
        <v>1.29</v>
      </c>
      <c r="F102" s="124">
        <f>E102*$B$4</f>
        <v/>
      </c>
      <c r="G102" s="125" t="n">
        <v>57</v>
      </c>
      <c r="H102" s="124" t="n">
        <v>0</v>
      </c>
      <c r="I102" s="121" t="inlineStr">
        <is>
          <t>R-134a</t>
        </is>
      </c>
      <c r="J102" s="121" t="inlineStr">
        <is>
          <t>–</t>
        </is>
      </c>
      <c r="K102" s="121" t="inlineStr">
        <is>
          <t>–</t>
        </is>
      </c>
      <c r="L102" s="121" t="inlineStr">
        <is>
          <t>–</t>
        </is>
      </c>
      <c r="M102" s="131" t="inlineStr">
        <is>
          <t>GET-DB (ηwh_m × Faktor)</t>
        </is>
      </c>
      <c r="N102" s="131" t="inlineStr">
        <is>
          <t>–</t>
        </is>
      </c>
      <c r="O102" s="131" t="inlineStr">
        <is>
          <t>–</t>
        </is>
      </c>
      <c r="P102" s="126">
        <f>IFERROR($B$5/F102,"–")</f>
        <v/>
      </c>
      <c r="Q102" s="127">
        <f>IFERROR($D$5*$B$5/F102,"–")</f>
        <v/>
      </c>
    </row>
    <row r="103" ht="20" customHeight="1">
      <c r="A103" s="130" t="inlineStr">
        <is>
          <t>Wolf FHS-180-S</t>
        </is>
      </c>
      <c r="B103" s="114" t="inlineStr">
        <is>
          <t>–</t>
        </is>
      </c>
      <c r="C103" s="114" t="inlineStr">
        <is>
          <t>A+</t>
        </is>
      </c>
      <c r="D103" s="115" t="n">
        <v>166</v>
      </c>
      <c r="E103" s="116" t="n">
        <v>1.29</v>
      </c>
      <c r="F103" s="117">
        <f>E103*$B$4</f>
        <v/>
      </c>
      <c r="G103" s="114" t="inlineStr">
        <is>
          <t>–</t>
        </is>
      </c>
      <c r="H103" s="114" t="inlineStr">
        <is>
          <t>–</t>
        </is>
      </c>
      <c r="I103" s="114" t="inlineStr">
        <is>
          <t>R-290</t>
        </is>
      </c>
      <c r="J103" s="128" t="n">
        <v>2119</v>
      </c>
      <c r="K103" s="114" t="inlineStr">
        <is>
          <t>nein</t>
        </is>
      </c>
      <c r="L103" s="115" t="n">
        <v>2000</v>
      </c>
      <c r="M103" s="130" t="inlineStr">
        <is>
          <t>HD24 (ηwh_m × Faktor) – Kältemittel lt. HD24 R290, Vorgängerserie R134a</t>
        </is>
      </c>
      <c r="N103" s="130" t="inlineStr">
        <is>
          <t>emaillierter Stahl</t>
        </is>
      </c>
      <c r="O103" s="130" t="inlineStr">
        <is>
          <t>Magnesiumanode</t>
        </is>
      </c>
      <c r="P103" s="119">
        <f>IFERROR($B$5/F103,"–")</f>
        <v/>
      </c>
      <c r="Q103" s="120">
        <f>IFERROR($D$5*$B$5/F103,"–")</f>
        <v/>
      </c>
    </row>
    <row r="104" ht="20" customHeight="1">
      <c r="A104" s="131" t="inlineStr">
        <is>
          <t>LG Therma V WH20ESF0.CA</t>
        </is>
      </c>
      <c r="B104" s="121" t="inlineStr">
        <is>
          <t>–</t>
        </is>
      </c>
      <c r="C104" s="121" t="inlineStr">
        <is>
          <t>A+</t>
        </is>
      </c>
      <c r="D104" s="122" t="n">
        <v>200</v>
      </c>
      <c r="E104" s="123" t="inlineStr">
        <is>
          <t>–</t>
        </is>
      </c>
      <c r="F104" s="124" t="n">
        <v>3.2</v>
      </c>
      <c r="G104" s="125" t="n">
        <v>53</v>
      </c>
      <c r="H104" s="121" t="inlineStr">
        <is>
          <t>–</t>
        </is>
      </c>
      <c r="I104" s="121" t="inlineStr">
        <is>
          <t>R-290</t>
        </is>
      </c>
      <c r="J104" s="129" t="n">
        <v>1949</v>
      </c>
      <c r="K104" s="121" t="inlineStr">
        <is>
          <t>nein</t>
        </is>
      </c>
      <c r="L104" s="121" t="inlineStr">
        <is>
          <t>–</t>
        </is>
      </c>
      <c r="M104" s="131" t="inlineStr">
        <is>
          <t>HD24 (COP A15/W35)</t>
        </is>
      </c>
      <c r="N104" s="131" t="inlineStr">
        <is>
          <t>–</t>
        </is>
      </c>
      <c r="O104" s="131" t="inlineStr">
        <is>
          <t>–</t>
        </is>
      </c>
      <c r="P104" s="126">
        <f>IFERROR($B$5/F104,"–")</f>
        <v/>
      </c>
      <c r="Q104" s="127">
        <f>IFERROR($D$5*$B$5/F104,"–")</f>
        <v/>
      </c>
    </row>
    <row r="105" ht="20" customHeight="1">
      <c r="A105" s="130" t="inlineStr">
        <is>
          <t>Dimplex DHW 250P</t>
        </is>
      </c>
      <c r="B105" s="114" t="inlineStr">
        <is>
          <t>–</t>
        </is>
      </c>
      <c r="C105" s="114" t="inlineStr">
        <is>
          <t>A+</t>
        </is>
      </c>
      <c r="D105" s="115" t="n">
        <v>250</v>
      </c>
      <c r="E105" s="116" t="inlineStr">
        <is>
          <t>–</t>
        </is>
      </c>
      <c r="F105" s="117" t="n">
        <v>3.2</v>
      </c>
      <c r="G105" s="118" t="n">
        <v>56</v>
      </c>
      <c r="H105" s="114" t="inlineStr">
        <is>
          <t>–</t>
        </is>
      </c>
      <c r="I105" s="114" t="inlineStr">
        <is>
          <t>R-290</t>
        </is>
      </c>
      <c r="J105" s="114" t="inlineStr">
        <is>
          <t>–</t>
        </is>
      </c>
      <c r="K105" s="114" t="inlineStr">
        <is>
          <t>nein</t>
        </is>
      </c>
      <c r="L105" s="115" t="n">
        <v>1200</v>
      </c>
      <c r="M105" s="130" t="inlineStr">
        <is>
          <t>Dimplex-Datenblatt (COP A15/W55, Lastprofil L)</t>
        </is>
      </c>
      <c r="N105" s="130" t="inlineStr">
        <is>
          <t>Stahl emailliert</t>
        </is>
      </c>
      <c r="O105" s="130" t="inlineStr">
        <is>
          <t>Magnesium-Opferanode</t>
        </is>
      </c>
      <c r="P105" s="119">
        <f>IFERROR($B$5/F105,"–")</f>
        <v/>
      </c>
      <c r="Q105" s="120">
        <f>IFERROR($D$5*$B$5/F105,"–")</f>
        <v/>
      </c>
    </row>
    <row r="106" ht="20" customHeight="1">
      <c r="A106" s="131" t="inlineStr">
        <is>
          <t>Alarko FLR-HWH-190C</t>
        </is>
      </c>
      <c r="B106" s="121" t="inlineStr">
        <is>
          <t>–</t>
        </is>
      </c>
      <c r="C106" s="121" t="inlineStr">
        <is>
          <t>A</t>
        </is>
      </c>
      <c r="D106" s="122" t="n">
        <v>190</v>
      </c>
      <c r="E106" s="123" t="inlineStr">
        <is>
          <t>–</t>
        </is>
      </c>
      <c r="F106" s="124" t="n">
        <v>3.15</v>
      </c>
      <c r="G106" s="125" t="n">
        <v>56</v>
      </c>
      <c r="H106" s="121" t="inlineStr">
        <is>
          <t>–</t>
        </is>
      </c>
      <c r="I106" s="121" t="inlineStr">
        <is>
          <t>R-290</t>
        </is>
      </c>
      <c r="J106" s="129" t="n">
        <v>1279</v>
      </c>
      <c r="K106" s="121" t="inlineStr">
        <is>
          <t>nein</t>
        </is>
      </c>
      <c r="L106" s="122" t="n">
        <v>1640</v>
      </c>
      <c r="M106" s="131" t="inlineStr">
        <is>
          <t>HD24 (COP EN16147 15/12 °C)</t>
        </is>
      </c>
      <c r="N106" s="131" t="inlineStr">
        <is>
          <t>–</t>
        </is>
      </c>
      <c r="O106" s="131" t="inlineStr">
        <is>
          <t>–</t>
        </is>
      </c>
      <c r="P106" s="126">
        <f>IFERROR($B$5/F106,"–")</f>
        <v/>
      </c>
      <c r="Q106" s="127">
        <f>IFERROR($D$5*$B$5/F106,"–")</f>
        <v/>
      </c>
    </row>
    <row r="107" ht="20" customHeight="1">
      <c r="A107" s="130" t="inlineStr">
        <is>
          <t>Wolf FHS-280-HE</t>
        </is>
      </c>
      <c r="B107" s="114" t="inlineStr">
        <is>
          <t>–</t>
        </is>
      </c>
      <c r="C107" s="114" t="inlineStr">
        <is>
          <t>A+</t>
        </is>
      </c>
      <c r="D107" s="115" t="n">
        <v>270</v>
      </c>
      <c r="E107" s="116" t="inlineStr">
        <is>
          <t>–</t>
        </is>
      </c>
      <c r="F107" s="117" t="n">
        <v>3.15</v>
      </c>
      <c r="G107" s="118" t="n">
        <v>58</v>
      </c>
      <c r="H107" s="114" t="inlineStr">
        <is>
          <t>–</t>
        </is>
      </c>
      <c r="I107" s="114" t="inlineStr">
        <is>
          <t>R-290</t>
        </is>
      </c>
      <c r="J107" s="128" t="n">
        <v>2749</v>
      </c>
      <c r="K107" s="114" t="inlineStr">
        <is>
          <t>ja (HE)</t>
        </is>
      </c>
      <c r="L107" s="115" t="n">
        <v>2000</v>
      </c>
      <c r="M107" s="130" t="inlineStr">
        <is>
          <t>HD24 (COP A20/W10-55) – Kältemittel lt. HD24 R290, Vorgängerserie R134a</t>
        </is>
      </c>
      <c r="N107" s="130" t="inlineStr">
        <is>
          <t>emaillierter Stahl</t>
        </is>
      </c>
      <c r="O107" s="130" t="inlineStr">
        <is>
          <t>Magnesiumanode</t>
        </is>
      </c>
      <c r="P107" s="119">
        <f>IFERROR($B$5/F107,"–")</f>
        <v/>
      </c>
      <c r="Q107" s="120">
        <f>IFERROR($D$5*$B$5/F107,"–")</f>
        <v/>
      </c>
    </row>
    <row r="108" ht="20" customHeight="1">
      <c r="A108" s="131" t="inlineStr">
        <is>
          <t>Vaillant fluoSTOR VWH B 270/1</t>
        </is>
      </c>
      <c r="B108" s="121" t="inlineStr">
        <is>
          <t>21.02.2027</t>
        </is>
      </c>
      <c r="C108" s="121" t="inlineStr">
        <is>
          <t>A+</t>
        </is>
      </c>
      <c r="D108" s="122" t="n">
        <v>270</v>
      </c>
      <c r="E108" s="123" t="n">
        <v>1.2563</v>
      </c>
      <c r="F108" s="124">
        <f>E108*$B$4</f>
        <v/>
      </c>
      <c r="G108" s="125" t="n">
        <v>48</v>
      </c>
      <c r="H108" s="124" t="n">
        <v>0</v>
      </c>
      <c r="I108" s="121" t="inlineStr">
        <is>
          <t>R-290</t>
        </is>
      </c>
      <c r="J108" s="121" t="inlineStr">
        <is>
          <t>–</t>
        </is>
      </c>
      <c r="K108" s="121" t="inlineStr">
        <is>
          <t>–</t>
        </is>
      </c>
      <c r="L108" s="121" t="inlineStr">
        <is>
          <t>–</t>
        </is>
      </c>
      <c r="M108" s="131" t="inlineStr">
        <is>
          <t>GET-DB (ηwh_m × Faktor)</t>
        </is>
      </c>
      <c r="N108" s="131" t="inlineStr">
        <is>
          <t>emaillierter Stahl</t>
        </is>
      </c>
      <c r="O108" s="131" t="inlineStr">
        <is>
          <t>Magnesiumanode</t>
        </is>
      </c>
      <c r="P108" s="126">
        <f>IFERROR($B$5/F108,"–")</f>
        <v/>
      </c>
      <c r="Q108" s="127">
        <f>IFERROR($D$5*$B$5/F108,"–")</f>
        <v/>
      </c>
    </row>
    <row r="109" ht="20" customHeight="1">
      <c r="A109" s="130" t="inlineStr">
        <is>
          <t>Alarko FLR-HWH-190CSC</t>
        </is>
      </c>
      <c r="B109" s="114" t="inlineStr">
        <is>
          <t>–</t>
        </is>
      </c>
      <c r="C109" s="114" t="inlineStr">
        <is>
          <t>A</t>
        </is>
      </c>
      <c r="D109" s="115" t="n">
        <v>190</v>
      </c>
      <c r="E109" s="116" t="inlineStr">
        <is>
          <t>–</t>
        </is>
      </c>
      <c r="F109" s="117" t="n">
        <v>3.14</v>
      </c>
      <c r="G109" s="118" t="n">
        <v>51</v>
      </c>
      <c r="H109" s="114" t="inlineStr">
        <is>
          <t>–</t>
        </is>
      </c>
      <c r="I109" s="114" t="inlineStr">
        <is>
          <t>R-290</t>
        </is>
      </c>
      <c r="J109" s="128" t="n">
        <v>1389</v>
      </c>
      <c r="K109" s="114" t="inlineStr">
        <is>
          <t>ja (CSC)</t>
        </is>
      </c>
      <c r="L109" s="115" t="n">
        <v>1640</v>
      </c>
      <c r="M109" s="130" t="inlineStr">
        <is>
          <t>HD24 (COP EN16147 15/12 °C)</t>
        </is>
      </c>
      <c r="N109" s="130" t="inlineStr">
        <is>
          <t>–</t>
        </is>
      </c>
      <c r="O109" s="130" t="inlineStr">
        <is>
          <t>–</t>
        </is>
      </c>
      <c r="P109" s="119">
        <f>IFERROR($B$5/F109,"–")</f>
        <v/>
      </c>
      <c r="Q109" s="120">
        <f>IFERROR($D$5*$B$5/F109,"–")</f>
        <v/>
      </c>
    </row>
    <row r="110" ht="20" customHeight="1">
      <c r="A110" s="131" t="inlineStr">
        <is>
          <t>Alarko FLR-HWH-300CSC</t>
        </is>
      </c>
      <c r="B110" s="121" t="inlineStr">
        <is>
          <t>–</t>
        </is>
      </c>
      <c r="C110" s="121" t="inlineStr">
        <is>
          <t>A</t>
        </is>
      </c>
      <c r="D110" s="122" t="n">
        <v>300</v>
      </c>
      <c r="E110" s="123" t="inlineStr">
        <is>
          <t>–</t>
        </is>
      </c>
      <c r="F110" s="124" t="n">
        <v>3.13</v>
      </c>
      <c r="G110" s="125" t="n">
        <v>51</v>
      </c>
      <c r="H110" s="121" t="inlineStr">
        <is>
          <t>–</t>
        </is>
      </c>
      <c r="I110" s="121" t="inlineStr">
        <is>
          <t>R-290</t>
        </is>
      </c>
      <c r="J110" s="129" t="n">
        <v>1569</v>
      </c>
      <c r="K110" s="121" t="inlineStr">
        <is>
          <t>ja (CSC)</t>
        </is>
      </c>
      <c r="L110" s="122" t="n">
        <v>1640</v>
      </c>
      <c r="M110" s="131" t="inlineStr">
        <is>
          <t>HD24 (COP EN16147 15/12 °C)</t>
        </is>
      </c>
      <c r="N110" s="131" t="inlineStr">
        <is>
          <t>–</t>
        </is>
      </c>
      <c r="O110" s="131" t="inlineStr">
        <is>
          <t>–</t>
        </is>
      </c>
      <c r="P110" s="126">
        <f>IFERROR($B$5/F110,"–")</f>
        <v/>
      </c>
      <c r="Q110" s="127">
        <f>IFERROR($D$5*$B$5/F110,"–")</f>
        <v/>
      </c>
    </row>
    <row r="111" ht="20" customHeight="1">
      <c r="A111" s="130" t="inlineStr">
        <is>
          <t>Dimplex DHW 301P+</t>
        </is>
      </c>
      <c r="B111" s="114" t="inlineStr">
        <is>
          <t>28.03.2027</t>
        </is>
      </c>
      <c r="C111" s="114" t="inlineStr">
        <is>
          <t>A+</t>
        </is>
      </c>
      <c r="D111" s="115" t="n">
        <v>265</v>
      </c>
      <c r="E111" s="116" t="n">
        <v>1.25</v>
      </c>
      <c r="F111" s="117">
        <f>E111*$B$4</f>
        <v/>
      </c>
      <c r="G111" s="118" t="n">
        <v>50</v>
      </c>
      <c r="H111" s="117" t="n">
        <v>0</v>
      </c>
      <c r="I111" s="114" t="inlineStr">
        <is>
          <t>R-290</t>
        </is>
      </c>
      <c r="J111" s="114" t="inlineStr">
        <is>
          <t>–</t>
        </is>
      </c>
      <c r="K111" s="114" t="inlineStr">
        <is>
          <t>ja (+)</t>
        </is>
      </c>
      <c r="L111" s="115" t="n">
        <v>1200</v>
      </c>
      <c r="M111" s="130" t="inlineStr">
        <is>
          <t>GET-DB + Dimplex-Montageanweisung (ηwh_m × Faktor)</t>
        </is>
      </c>
      <c r="N111" s="130" t="inlineStr">
        <is>
          <t>Stahl emailliert</t>
        </is>
      </c>
      <c r="O111" s="130" t="inlineStr">
        <is>
          <t>Fremdstromanode</t>
        </is>
      </c>
      <c r="P111" s="119">
        <f>IFERROR($B$5/F111,"–")</f>
        <v/>
      </c>
      <c r="Q111" s="120">
        <f>IFERROR($D$5*$B$5/F111,"–")</f>
        <v/>
      </c>
    </row>
    <row r="112" ht="20" customHeight="1">
      <c r="A112" s="131" t="inlineStr">
        <is>
          <t>Saunier Duval Magna Aqua 270/3C</t>
        </is>
      </c>
      <c r="B112" s="121" t="inlineStr">
        <is>
          <t>02.12.2025</t>
        </is>
      </c>
      <c r="C112" s="121" t="inlineStr">
        <is>
          <t>A+</t>
        </is>
      </c>
      <c r="D112" s="122" t="n">
        <v>267</v>
      </c>
      <c r="E112" s="123" t="n">
        <v>1.25</v>
      </c>
      <c r="F112" s="124">
        <f>E112*$B$4</f>
        <v/>
      </c>
      <c r="G112" s="125" t="n">
        <v>50</v>
      </c>
      <c r="H112" s="124" t="n">
        <v>1.77</v>
      </c>
      <c r="I112" s="121" t="inlineStr">
        <is>
          <t>R-290</t>
        </is>
      </c>
      <c r="J112" s="121" t="inlineStr">
        <is>
          <t>–</t>
        </is>
      </c>
      <c r="K112" s="121" t="inlineStr">
        <is>
          <t>–</t>
        </is>
      </c>
      <c r="L112" s="121" t="inlineStr">
        <is>
          <t>–</t>
        </is>
      </c>
      <c r="M112" s="131" t="inlineStr">
        <is>
          <t>GET-DB (ηwh_m × Faktor)</t>
        </is>
      </c>
      <c r="N112" s="131" t="inlineStr">
        <is>
          <t>Edelstahl</t>
        </is>
      </c>
      <c r="O112" s="131" t="inlineStr">
        <is>
          <t>keine (anodenfrei)</t>
        </is>
      </c>
      <c r="P112" s="126">
        <f>IFERROR($B$5/F112,"–")</f>
        <v/>
      </c>
      <c r="Q112" s="127">
        <f>IFERROR($D$5*$B$5/F112,"–")</f>
        <v/>
      </c>
    </row>
    <row r="113" ht="20" customHeight="1">
      <c r="A113" s="130" t="inlineStr">
        <is>
          <t>Vaillant aroSTOR VWL BM 270/5</t>
        </is>
      </c>
      <c r="B113" s="114" t="inlineStr">
        <is>
          <t>02.12.2025</t>
        </is>
      </c>
      <c r="C113" s="114" t="inlineStr">
        <is>
          <t>A+</t>
        </is>
      </c>
      <c r="D113" s="115" t="n">
        <v>267</v>
      </c>
      <c r="E113" s="116" t="n">
        <v>1.25</v>
      </c>
      <c r="F113" s="117">
        <f>E113*$B$4</f>
        <v/>
      </c>
      <c r="G113" s="118" t="n">
        <v>50</v>
      </c>
      <c r="H113" s="117" t="n">
        <v>1.77</v>
      </c>
      <c r="I113" s="114" t="inlineStr">
        <is>
          <t>R-290</t>
        </is>
      </c>
      <c r="J113" s="114" t="inlineStr">
        <is>
          <t>–</t>
        </is>
      </c>
      <c r="K113" s="114" t="inlineStr">
        <is>
          <t>–</t>
        </is>
      </c>
      <c r="L113" s="114" t="inlineStr">
        <is>
          <t>–</t>
        </is>
      </c>
      <c r="M113" s="130" t="inlineStr">
        <is>
          <t>GET-DB (ηwh_m × Faktor)</t>
        </is>
      </c>
      <c r="N113" s="130" t="inlineStr">
        <is>
          <t>Edelstahl</t>
        </is>
      </c>
      <c r="O113" s="130" t="inlineStr">
        <is>
          <t>keine (anodenfrei)</t>
        </is>
      </c>
      <c r="P113" s="119">
        <f>IFERROR($B$5/F113,"–")</f>
        <v/>
      </c>
      <c r="Q113" s="120">
        <f>IFERROR($D$5*$B$5/F113,"–")</f>
        <v/>
      </c>
    </row>
    <row r="114" ht="20" customHeight="1">
      <c r="A114" s="131" t="inlineStr">
        <is>
          <t>ÖkoFEN Brauchwasser-Wärmepumpe 300</t>
        </is>
      </c>
      <c r="B114" s="121" t="inlineStr">
        <is>
          <t>–</t>
        </is>
      </c>
      <c r="C114" s="121" t="inlineStr">
        <is>
          <t>A+</t>
        </is>
      </c>
      <c r="D114" s="122" t="n">
        <v>300</v>
      </c>
      <c r="E114" s="123" t="inlineStr">
        <is>
          <t>–</t>
        </is>
      </c>
      <c r="F114" s="124" t="n">
        <v>3.1</v>
      </c>
      <c r="G114" s="125" t="n">
        <v>55.7</v>
      </c>
      <c r="H114" s="121" t="inlineStr">
        <is>
          <t>–</t>
        </is>
      </c>
      <c r="I114" s="121" t="inlineStr">
        <is>
          <t>R-290</t>
        </is>
      </c>
      <c r="J114" s="121" t="inlineStr">
        <is>
          <t>ca. 3.000–4.000</t>
        </is>
      </c>
      <c r="K114" s="121" t="inlineStr">
        <is>
          <t>ja</t>
        </is>
      </c>
      <c r="L114" s="122" t="n">
        <v>1600</v>
      </c>
      <c r="M114" s="131" t="inlineStr">
        <is>
          <t>oekofen.com (COP 20/15 °C) · WT 1 m²</t>
        </is>
      </c>
      <c r="N114" s="131" t="inlineStr">
        <is>
          <t>Edelstahl</t>
        </is>
      </c>
      <c r="O114" s="131" t="inlineStr">
        <is>
          <t>–</t>
        </is>
      </c>
      <c r="P114" s="126">
        <f>IFERROR($B$5/F114,"–")</f>
        <v/>
      </c>
      <c r="Q114" s="127">
        <f>IFERROR($D$5*$B$5/F114,"–")</f>
        <v/>
      </c>
    </row>
    <row r="115" ht="20" customHeight="1">
      <c r="A115" s="130" t="inlineStr">
        <is>
          <t>Vaillant fluoSTOR VWH B 200/1</t>
        </is>
      </c>
      <c r="B115" s="114" t="inlineStr">
        <is>
          <t>21.02.2027</t>
        </is>
      </c>
      <c r="C115" s="114" t="inlineStr">
        <is>
          <t>A+</t>
        </is>
      </c>
      <c r="D115" s="115" t="n">
        <v>200</v>
      </c>
      <c r="E115" s="116" t="n">
        <v>1.239</v>
      </c>
      <c r="F115" s="117">
        <f>E115*$B$4</f>
        <v/>
      </c>
      <c r="G115" s="118" t="n">
        <v>48</v>
      </c>
      <c r="H115" s="117" t="n">
        <v>0</v>
      </c>
      <c r="I115" s="114" t="inlineStr">
        <is>
          <t>R-290</t>
        </is>
      </c>
      <c r="J115" s="114" t="inlineStr">
        <is>
          <t>–</t>
        </is>
      </c>
      <c r="K115" s="114" t="inlineStr">
        <is>
          <t>–</t>
        </is>
      </c>
      <c r="L115" s="114" t="inlineStr">
        <is>
          <t>–</t>
        </is>
      </c>
      <c r="M115" s="130" t="inlineStr">
        <is>
          <t>GET-DB (ηwh_m × Faktor)</t>
        </is>
      </c>
      <c r="N115" s="130" t="inlineStr">
        <is>
          <t>emaillierter Stahl</t>
        </is>
      </c>
      <c r="O115" s="130" t="inlineStr">
        <is>
          <t>Magnesiumanode</t>
        </is>
      </c>
      <c r="P115" s="119">
        <f>IFERROR($B$5/F115,"–")</f>
        <v/>
      </c>
      <c r="Q115" s="120">
        <f>IFERROR($D$5*$B$5/F115,"–")</f>
        <v/>
      </c>
    </row>
    <row r="116" ht="20" customHeight="1">
      <c r="A116" s="131" t="inlineStr">
        <is>
          <t>Vaillant aroSTOR plus VWL BM 200/6</t>
        </is>
      </c>
      <c r="B116" s="121" t="inlineStr">
        <is>
          <t>–</t>
        </is>
      </c>
      <c r="C116" s="121" t="inlineStr">
        <is>
          <t>A+</t>
        </is>
      </c>
      <c r="D116" s="122" t="n">
        <v>194</v>
      </c>
      <c r="E116" s="123" t="inlineStr">
        <is>
          <t>–</t>
        </is>
      </c>
      <c r="F116" s="124" t="n">
        <v>3.09</v>
      </c>
      <c r="G116" s="125" t="n">
        <v>54</v>
      </c>
      <c r="H116" s="121" t="inlineStr">
        <is>
          <t>–</t>
        </is>
      </c>
      <c r="I116" s="121" t="inlineStr">
        <is>
          <t>R-290</t>
        </is>
      </c>
      <c r="J116" s="129" t="n">
        <v>2498</v>
      </c>
      <c r="K116" s="121" t="inlineStr">
        <is>
          <t>ja (BM)</t>
        </is>
      </c>
      <c r="L116" s="122" t="n">
        <v>1500</v>
      </c>
      <c r="M116" s="131" t="inlineStr">
        <is>
          <t>HD24 (COP A7/W55) · WT 1,05 m²</t>
        </is>
      </c>
      <c r="N116" s="131" t="inlineStr">
        <is>
          <t>emaillierter Stahl</t>
        </is>
      </c>
      <c r="O116" s="131" t="inlineStr">
        <is>
          <t>Magnesium-Schutzanode (von außen messbar)</t>
        </is>
      </c>
      <c r="P116" s="126">
        <f>IFERROR($B$5/F116,"–")</f>
        <v/>
      </c>
      <c r="Q116" s="127">
        <f>IFERROR($D$5*$B$5/F116,"–")</f>
        <v/>
      </c>
    </row>
    <row r="117" ht="20" customHeight="1">
      <c r="A117" s="130" t="inlineStr">
        <is>
          <t>Hofman Energy Avarma 190, 200 L</t>
        </is>
      </c>
      <c r="B117" s="114" t="inlineStr">
        <is>
          <t>–</t>
        </is>
      </c>
      <c r="C117" s="114" t="inlineStr">
        <is>
          <t>A+</t>
        </is>
      </c>
      <c r="D117" s="115" t="n">
        <v>200</v>
      </c>
      <c r="E117" s="116" t="inlineStr">
        <is>
          <t>–</t>
        </is>
      </c>
      <c r="F117" s="117" t="n">
        <v>3.04</v>
      </c>
      <c r="G117" s="114" t="inlineStr">
        <is>
          <t>–</t>
        </is>
      </c>
      <c r="H117" s="114" t="inlineStr">
        <is>
          <t>–</t>
        </is>
      </c>
      <c r="I117" s="114" t="inlineStr">
        <is>
          <t>R-290</t>
        </is>
      </c>
      <c r="J117" s="128" t="n">
        <v>1499.99</v>
      </c>
      <c r="K117" s="114" t="inlineStr">
        <is>
          <t>ja (Register 2)</t>
        </is>
      </c>
      <c r="L117" s="115" t="n">
        <v>1500</v>
      </c>
      <c r="M117" s="130" t="inlineStr">
        <is>
          <t>hofman-energy.com (COP DHW)</t>
        </is>
      </c>
      <c r="N117" s="130" t="inlineStr">
        <is>
          <t>Edelstahl (Duplex 2205)</t>
        </is>
      </c>
      <c r="O117" s="130" t="inlineStr">
        <is>
          <t>elektronische Anode</t>
        </is>
      </c>
      <c r="P117" s="119">
        <f>IFERROR($B$5/F117,"–")</f>
        <v/>
      </c>
      <c r="Q117" s="120">
        <f>IFERROR($D$5*$B$5/F117,"–")</f>
        <v/>
      </c>
    </row>
    <row r="118" ht="20" customHeight="1">
      <c r="A118" s="131" t="inlineStr">
        <is>
          <t>Hisense Hi-Water AH-200U4GAB00</t>
        </is>
      </c>
      <c r="B118" s="121" t="inlineStr">
        <is>
          <t>–</t>
        </is>
      </c>
      <c r="C118" s="121" t="inlineStr">
        <is>
          <t>A+</t>
        </is>
      </c>
      <c r="D118" s="122" t="n">
        <v>200</v>
      </c>
      <c r="E118" s="123" t="n">
        <v>1.21</v>
      </c>
      <c r="F118" s="124">
        <f>E118*$B$4</f>
        <v/>
      </c>
      <c r="G118" s="125" t="n">
        <v>53</v>
      </c>
      <c r="H118" s="121" t="inlineStr">
        <is>
          <t>–</t>
        </is>
      </c>
      <c r="I118" s="121" t="inlineStr">
        <is>
          <t>R-290</t>
        </is>
      </c>
      <c r="J118" s="121" t="inlineStr">
        <is>
          <t>–</t>
        </is>
      </c>
      <c r="K118" s="121" t="inlineStr">
        <is>
          <t>nein</t>
        </is>
      </c>
      <c r="L118" s="122" t="n">
        <v>2000</v>
      </c>
      <c r="M118" s="131" t="inlineStr">
        <is>
          <t>Hisense ES (ηwh_m × Faktor, Lastprofil L)</t>
        </is>
      </c>
      <c r="N118" s="131" t="inlineStr">
        <is>
          <t>–</t>
        </is>
      </c>
      <c r="O118" s="131" t="inlineStr">
        <is>
          <t>–</t>
        </is>
      </c>
      <c r="P118" s="126">
        <f>IFERROR($B$5/F118,"–")</f>
        <v/>
      </c>
      <c r="Q118" s="127">
        <f>IFERROR($D$5*$B$5/F118,"–")</f>
        <v/>
      </c>
    </row>
    <row r="119" ht="20" customHeight="1">
      <c r="A119" s="130" t="inlineStr">
        <is>
          <t>Ovum OPW 170</t>
        </is>
      </c>
      <c r="B119" s="114" t="inlineStr">
        <is>
          <t>13.01.2027</t>
        </is>
      </c>
      <c r="C119" s="114" t="inlineStr">
        <is>
          <t>A+</t>
        </is>
      </c>
      <c r="D119" s="115" t="n">
        <v>166</v>
      </c>
      <c r="E119" s="116" t="n">
        <v>1.2</v>
      </c>
      <c r="F119" s="117">
        <f>E119*$B$4</f>
        <v/>
      </c>
      <c r="G119" s="118" t="n">
        <v>44</v>
      </c>
      <c r="H119" s="117" t="n">
        <v>1</v>
      </c>
      <c r="I119" s="114" t="inlineStr">
        <is>
          <t>R-290</t>
        </is>
      </c>
      <c r="J119" s="114" t="inlineStr">
        <is>
          <t>–</t>
        </is>
      </c>
      <c r="K119" s="114" t="inlineStr">
        <is>
          <t>–</t>
        </is>
      </c>
      <c r="L119" s="114" t="inlineStr">
        <is>
          <t>–</t>
        </is>
      </c>
      <c r="M119" s="130" t="inlineStr">
        <is>
          <t>GET-DB (ηwh_m × Faktor)</t>
        </is>
      </c>
      <c r="N119" s="130" t="inlineStr">
        <is>
          <t>–</t>
        </is>
      </c>
      <c r="O119" s="130" t="inlineStr">
        <is>
          <t>–</t>
        </is>
      </c>
      <c r="P119" s="119">
        <f>IFERROR($B$5/F119,"–")</f>
        <v/>
      </c>
      <c r="Q119" s="120">
        <f>IFERROR($D$5*$B$5/F119,"–")</f>
        <v/>
      </c>
    </row>
    <row r="120" ht="20" customHeight="1">
      <c r="A120" s="131" t="inlineStr">
        <is>
          <t>Viessmann Vitocal 060-A T0E-ze 180 l</t>
        </is>
      </c>
      <c r="B120" s="121" t="inlineStr">
        <is>
          <t>21.02.2024</t>
        </is>
      </c>
      <c r="C120" s="121" t="inlineStr">
        <is>
          <t>A+</t>
        </is>
      </c>
      <c r="D120" s="122" t="n">
        <v>180</v>
      </c>
      <c r="E120" s="123" t="n">
        <v>1.2</v>
      </c>
      <c r="F120" s="124">
        <f>E120*$B$4</f>
        <v/>
      </c>
      <c r="G120" s="125" t="n">
        <v>58</v>
      </c>
      <c r="H120" s="124" t="n">
        <v>0.52</v>
      </c>
      <c r="I120" s="121" t="inlineStr">
        <is>
          <t>R-1234ze</t>
        </is>
      </c>
      <c r="J120" s="121" t="inlineStr">
        <is>
          <t>–</t>
        </is>
      </c>
      <c r="K120" s="121" t="inlineStr">
        <is>
          <t>–</t>
        </is>
      </c>
      <c r="L120" s="121" t="inlineStr">
        <is>
          <t>–</t>
        </is>
      </c>
      <c r="M120" s="131" t="inlineStr">
        <is>
          <t>GET-DB (ηwh_m × Faktor)</t>
        </is>
      </c>
      <c r="N120" s="131" t="inlineStr">
        <is>
          <t>emailliert (Ceraprotect)</t>
        </is>
      </c>
      <c r="O120" s="131" t="inlineStr">
        <is>
          <t>–</t>
        </is>
      </c>
      <c r="P120" s="126">
        <f>IFERROR($B$5/F120,"–")</f>
        <v/>
      </c>
      <c r="Q120" s="127">
        <f>IFERROR($D$5*$B$5/F120,"–")</f>
        <v/>
      </c>
    </row>
    <row r="121" ht="20" customHeight="1">
      <c r="A121" s="130" t="inlineStr">
        <is>
          <t>Junkers Bosch Compress 5000 DW CS5001DW 200</t>
        </is>
      </c>
      <c r="B121" s="114" t="inlineStr">
        <is>
          <t>–</t>
        </is>
      </c>
      <c r="C121" s="114" t="inlineStr">
        <is>
          <t>A+</t>
        </is>
      </c>
      <c r="D121" s="115" t="n">
        <v>202</v>
      </c>
      <c r="E121" s="116" t="n">
        <v>1.2</v>
      </c>
      <c r="F121" s="117">
        <f>E121*$B$4</f>
        <v/>
      </c>
      <c r="G121" s="118" t="n">
        <v>56</v>
      </c>
      <c r="H121" s="114" t="inlineStr">
        <is>
          <t>–</t>
        </is>
      </c>
      <c r="I121" s="114" t="inlineStr">
        <is>
          <t>R-513A</t>
        </is>
      </c>
      <c r="J121" s="128" t="n">
        <v>2449</v>
      </c>
      <c r="K121" s="114" t="inlineStr">
        <is>
          <t>nein</t>
        </is>
      </c>
      <c r="L121" s="115" t="n">
        <v>1500</v>
      </c>
      <c r="M121" s="130" t="inlineStr">
        <is>
          <t>HD24 (ηwh_m × Faktor)</t>
        </is>
      </c>
      <c r="N121" s="130" t="inlineStr">
        <is>
          <t>emailliert</t>
        </is>
      </c>
      <c r="O121" s="130" t="inlineStr">
        <is>
          <t>Magnesiumanode</t>
        </is>
      </c>
      <c r="P121" s="119">
        <f>IFERROR($B$5/F121,"–")</f>
        <v/>
      </c>
      <c r="Q121" s="120">
        <f>IFERROR($D$5*$B$5/F121,"–")</f>
        <v/>
      </c>
    </row>
    <row r="122" ht="20" customHeight="1">
      <c r="A122" s="131" t="inlineStr">
        <is>
          <t>Junkers Bosch Compress 5000 DW CS5001DW 200 C</t>
        </is>
      </c>
      <c r="B122" s="121" t="inlineStr">
        <is>
          <t>–</t>
        </is>
      </c>
      <c r="C122" s="121" t="inlineStr">
        <is>
          <t>A+</t>
        </is>
      </c>
      <c r="D122" s="122" t="n">
        <v>194</v>
      </c>
      <c r="E122" s="123" t="n">
        <v>1.2</v>
      </c>
      <c r="F122" s="124">
        <f>E122*$B$4</f>
        <v/>
      </c>
      <c r="G122" s="125" t="n">
        <v>56</v>
      </c>
      <c r="H122" s="121" t="inlineStr">
        <is>
          <t>–</t>
        </is>
      </c>
      <c r="I122" s="121" t="inlineStr">
        <is>
          <t>R-513A</t>
        </is>
      </c>
      <c r="J122" s="129" t="n">
        <v>2655</v>
      </c>
      <c r="K122" s="121" t="inlineStr">
        <is>
          <t>ja (C)</t>
        </is>
      </c>
      <c r="L122" s="122" t="n">
        <v>1500</v>
      </c>
      <c r="M122" s="131" t="inlineStr">
        <is>
          <t>HD24 (ηwh_m × Faktor)</t>
        </is>
      </c>
      <c r="N122" s="131" t="inlineStr">
        <is>
          <t>emailliert</t>
        </is>
      </c>
      <c r="O122" s="131" t="inlineStr">
        <is>
          <t>Magnesiumanode</t>
        </is>
      </c>
      <c r="P122" s="126">
        <f>IFERROR($B$5/F122,"–")</f>
        <v/>
      </c>
      <c r="Q122" s="127">
        <f>IFERROR($D$5*$B$5/F122,"–")</f>
        <v/>
      </c>
    </row>
    <row r="123" ht="20" customHeight="1">
      <c r="A123" s="130" t="inlineStr">
        <is>
          <t>Buderus WPT200.4 A Logatherm</t>
        </is>
      </c>
      <c r="B123" s="114" t="inlineStr">
        <is>
          <t>–</t>
        </is>
      </c>
      <c r="C123" s="114" t="inlineStr">
        <is>
          <t>A+</t>
        </is>
      </c>
      <c r="D123" s="115" t="n">
        <v>202</v>
      </c>
      <c r="E123" s="116" t="n">
        <v>1.2</v>
      </c>
      <c r="F123" s="117">
        <f>E123*$B$4</f>
        <v/>
      </c>
      <c r="G123" s="118" t="n">
        <v>56</v>
      </c>
      <c r="H123" s="114" t="inlineStr">
        <is>
          <t>–</t>
        </is>
      </c>
      <c r="I123" s="114" t="inlineStr">
        <is>
          <t>R-513A</t>
        </is>
      </c>
      <c r="J123" s="128" t="n">
        <v>1805</v>
      </c>
      <c r="K123" s="114" t="inlineStr">
        <is>
          <t>nein</t>
        </is>
      </c>
      <c r="L123" s="115" t="n">
        <v>1500</v>
      </c>
      <c r="M123" s="130" t="inlineStr">
        <is>
          <t>HD24 (ηwh_m × Faktor)</t>
        </is>
      </c>
      <c r="N123" s="130" t="inlineStr">
        <is>
          <t>emailliert</t>
        </is>
      </c>
      <c r="O123" s="130" t="inlineStr">
        <is>
          <t>Magnesiumanode</t>
        </is>
      </c>
      <c r="P123" s="119">
        <f>IFERROR($B$5/F123,"–")</f>
        <v/>
      </c>
      <c r="Q123" s="120">
        <f>IFERROR($D$5*$B$5/F123,"–")</f>
        <v/>
      </c>
    </row>
    <row r="124" ht="20" customHeight="1">
      <c r="A124" s="131" t="inlineStr">
        <is>
          <t>Buderus WPT200.4 AS Logatherm</t>
        </is>
      </c>
      <c r="B124" s="121" t="inlineStr">
        <is>
          <t>–</t>
        </is>
      </c>
      <c r="C124" s="121" t="inlineStr">
        <is>
          <t>A+</t>
        </is>
      </c>
      <c r="D124" s="122" t="n">
        <v>194</v>
      </c>
      <c r="E124" s="123" t="n">
        <v>1.2</v>
      </c>
      <c r="F124" s="124">
        <f>E124*$B$4</f>
        <v/>
      </c>
      <c r="G124" s="125" t="n">
        <v>56</v>
      </c>
      <c r="H124" s="121" t="inlineStr">
        <is>
          <t>–</t>
        </is>
      </c>
      <c r="I124" s="121" t="inlineStr">
        <is>
          <t>R-513A</t>
        </is>
      </c>
      <c r="J124" s="129" t="n">
        <v>1919</v>
      </c>
      <c r="K124" s="121" t="inlineStr">
        <is>
          <t>ja (AS)</t>
        </is>
      </c>
      <c r="L124" s="122" t="n">
        <v>1500</v>
      </c>
      <c r="M124" s="131" t="inlineStr">
        <is>
          <t>HD24 (ηwh_m × Faktor) · WT 1,0 m²</t>
        </is>
      </c>
      <c r="N124" s="131" t="inlineStr">
        <is>
          <t>emailliert</t>
        </is>
      </c>
      <c r="O124" s="131" t="inlineStr">
        <is>
          <t>Magnesiumanode</t>
        </is>
      </c>
      <c r="P124" s="126">
        <f>IFERROR($B$5/F124,"–")</f>
        <v/>
      </c>
      <c r="Q124" s="127">
        <f>IFERROR($D$5*$B$5/F124,"–")</f>
        <v/>
      </c>
    </row>
    <row r="125" ht="20" customHeight="1">
      <c r="A125" s="130" t="inlineStr">
        <is>
          <t>OCHSNER EUROPA MINI IWPL</t>
        </is>
      </c>
      <c r="B125" s="114" t="inlineStr">
        <is>
          <t>–</t>
        </is>
      </c>
      <c r="C125" s="114" t="inlineStr">
        <is>
          <t>A</t>
        </is>
      </c>
      <c r="D125" s="115" t="n">
        <v>357</v>
      </c>
      <c r="E125" s="116" t="n">
        <v>1.2</v>
      </c>
      <c r="F125" s="117">
        <f>E125*$B$4</f>
        <v/>
      </c>
      <c r="G125" s="118" t="n">
        <v>57</v>
      </c>
      <c r="H125" s="114" t="inlineStr">
        <is>
          <t>–</t>
        </is>
      </c>
      <c r="I125" s="114" t="inlineStr">
        <is>
          <t>R-134a</t>
        </is>
      </c>
      <c r="J125" s="114" t="inlineStr">
        <is>
          <t>–</t>
        </is>
      </c>
      <c r="K125" s="114" t="inlineStr">
        <is>
          <t>–</t>
        </is>
      </c>
      <c r="L125" s="115" t="n">
        <v>2500</v>
      </c>
      <c r="M125" s="130" t="inlineStr">
        <is>
          <t>OCHSNER-Datenblatt (ηwh_m × Faktor, XL; COP 4,00 bei L21, 3,70 bei L15)</t>
        </is>
      </c>
      <c r="N125" s="130" t="inlineStr">
        <is>
          <t>–</t>
        </is>
      </c>
      <c r="O125" s="130" t="inlineStr">
        <is>
          <t>–</t>
        </is>
      </c>
      <c r="P125" s="119">
        <f>IFERROR($B$5/F125,"–")</f>
        <v/>
      </c>
      <c r="Q125" s="120">
        <f>IFERROR($D$5*$B$5/F125,"–")</f>
        <v/>
      </c>
    </row>
    <row r="126" ht="20" customHeight="1">
      <c r="A126" s="131" t="inlineStr">
        <is>
          <t>Ochsner Europa 250 DK</t>
        </is>
      </c>
      <c r="B126" s="121" t="inlineStr">
        <is>
          <t>27.10.2026</t>
        </is>
      </c>
      <c r="C126" s="121" t="inlineStr">
        <is>
          <t>A+</t>
        </is>
      </c>
      <c r="D126" s="122" t="n">
        <v>235</v>
      </c>
      <c r="E126" s="123" t="n">
        <v>1.15</v>
      </c>
      <c r="F126" s="124">
        <f>E126*$B$4</f>
        <v/>
      </c>
      <c r="G126" s="125" t="n">
        <v>62</v>
      </c>
      <c r="H126" s="124" t="n">
        <v>1.87</v>
      </c>
      <c r="I126" s="121" t="inlineStr">
        <is>
          <t>R-134a</t>
        </is>
      </c>
      <c r="J126" s="121" t="inlineStr">
        <is>
          <t>–</t>
        </is>
      </c>
      <c r="K126" s="121" t="inlineStr">
        <is>
          <t>–</t>
        </is>
      </c>
      <c r="L126" s="121" t="inlineStr">
        <is>
          <t>–</t>
        </is>
      </c>
      <c r="M126" s="131" t="inlineStr">
        <is>
          <t>GET-DB (ηwh_m × Faktor)</t>
        </is>
      </c>
      <c r="N126" s="131" t="inlineStr">
        <is>
          <t>–</t>
        </is>
      </c>
      <c r="O126" s="131" t="inlineStr">
        <is>
          <t>–</t>
        </is>
      </c>
      <c r="P126" s="126">
        <f>IFERROR($B$5/F126,"–")</f>
        <v/>
      </c>
      <c r="Q126" s="127">
        <f>IFERROR($D$5*$B$5/F126,"–")</f>
        <v/>
      </c>
    </row>
    <row r="127" ht="20" customHeight="1">
      <c r="A127" s="130" t="n"/>
      <c r="B127" s="114" t="n"/>
      <c r="C127" s="114" t="n"/>
      <c r="D127" s="115" t="n"/>
      <c r="E127" s="116" t="n"/>
      <c r="F127" s="117" t="n"/>
      <c r="G127" s="118" t="n"/>
      <c r="H127" s="114" t="n"/>
      <c r="I127" s="114" t="n"/>
      <c r="J127" s="114" t="n"/>
      <c r="K127" s="114" t="n"/>
      <c r="L127" s="115" t="n"/>
      <c r="M127" s="130" t="n"/>
      <c r="N127" s="130" t="n"/>
      <c r="O127" s="130" t="n"/>
      <c r="P127" s="119" t="n"/>
      <c r="Q127" s="120" t="n"/>
    </row>
    <row r="128" ht="20" customHeight="1">
      <c r="A128" s="131" t="n"/>
      <c r="B128" s="121" t="n"/>
      <c r="C128" s="121" t="n"/>
      <c r="D128" s="122" t="n"/>
      <c r="E128" s="123" t="n"/>
      <c r="F128" s="124" t="n"/>
      <c r="G128" s="125" t="n"/>
      <c r="H128" s="124" t="n"/>
      <c r="I128" s="121" t="n"/>
      <c r="J128" s="121" t="n"/>
      <c r="K128" s="121" t="n"/>
      <c r="L128" s="121" t="n"/>
      <c r="M128" s="131" t="n"/>
      <c r="N128" s="131" t="n"/>
      <c r="O128" s="131" t="n"/>
      <c r="P128" s="126" t="n"/>
      <c r="Q128" s="127" t="n"/>
    </row>
    <row r="129" ht="20" customHeight="1">
      <c r="A129" s="84" t="n"/>
      <c r="B129" s="84" t="n"/>
      <c r="C129" s="84" t="n"/>
      <c r="D129" s="85" t="n"/>
      <c r="E129" s="86" t="n"/>
      <c r="F129" s="87" t="n"/>
      <c r="G129" s="88" t="n"/>
      <c r="H129" s="84" t="n"/>
      <c r="I129" s="84" t="n"/>
      <c r="J129" s="95" t="n"/>
      <c r="K129" s="84" t="n"/>
      <c r="L129" s="85" t="n"/>
      <c r="M129" s="84" t="n"/>
      <c r="N129" s="84" t="n"/>
      <c r="O129" s="84" t="n"/>
      <c r="P129" s="102" t="n"/>
      <c r="Q129" s="103" t="n"/>
    </row>
    <row r="130" ht="20" customHeight="1">
      <c r="A130" s="89" t="n"/>
      <c r="B130" s="89" t="n"/>
      <c r="C130" s="89" t="n"/>
      <c r="D130" s="90" t="n"/>
      <c r="E130" s="91" t="n"/>
      <c r="F130" s="92" t="n"/>
      <c r="G130" s="93" t="n"/>
      <c r="H130" s="89" t="n"/>
      <c r="I130" s="89" t="n"/>
      <c r="J130" s="94" t="n"/>
      <c r="K130" s="89" t="n"/>
      <c r="L130" s="90" t="n"/>
      <c r="M130" s="89" t="n"/>
      <c r="N130" s="89" t="n"/>
      <c r="O130" s="89" t="n"/>
      <c r="P130" s="104" t="n"/>
      <c r="Q130" s="105" t="n"/>
    </row>
    <row r="131" ht="20" customHeight="1">
      <c r="A131" s="84" t="n"/>
      <c r="B131" s="84" t="n"/>
      <c r="C131" s="84" t="n"/>
      <c r="D131" s="85" t="n"/>
      <c r="E131" s="86" t="n"/>
      <c r="F131" s="87" t="n"/>
      <c r="G131" s="88" t="n"/>
      <c r="H131" s="84" t="n"/>
      <c r="I131" s="84" t="n"/>
      <c r="J131" s="95" t="n"/>
      <c r="K131" s="84" t="n"/>
      <c r="L131" s="85" t="n"/>
      <c r="M131" s="84" t="n"/>
      <c r="N131" s="84" t="n"/>
      <c r="O131" s="84" t="n"/>
      <c r="P131" s="102" t="n"/>
      <c r="Q131" s="103" t="n"/>
    </row>
    <row r="132" ht="20" customHeight="1">
      <c r="A132" s="89" t="n"/>
      <c r="B132" s="89" t="n"/>
      <c r="C132" s="89" t="n"/>
      <c r="D132" s="90" t="n"/>
      <c r="E132" s="91" t="n"/>
      <c r="F132" s="92" t="n"/>
      <c r="G132" s="93" t="n"/>
      <c r="H132" s="89" t="n"/>
      <c r="I132" s="89" t="n"/>
      <c r="J132" s="89" t="n"/>
      <c r="K132" s="89" t="n"/>
      <c r="L132" s="90" t="n"/>
      <c r="M132" s="89" t="n"/>
      <c r="N132" s="89" t="n"/>
      <c r="O132" s="89" t="n"/>
      <c r="P132" s="104" t="n"/>
      <c r="Q132" s="105" t="n"/>
    </row>
    <row r="133" ht="20" customHeight="1">
      <c r="A133" s="84" t="n"/>
      <c r="B133" s="84" t="n"/>
      <c r="C133" s="84" t="n"/>
      <c r="D133" s="85" t="n"/>
      <c r="E133" s="86" t="n"/>
      <c r="F133" s="87" t="n"/>
      <c r="G133" s="88" t="n"/>
      <c r="H133" s="84" t="n"/>
      <c r="I133" s="84" t="n"/>
      <c r="J133" s="95" t="n"/>
      <c r="K133" s="84" t="n"/>
      <c r="L133" s="85" t="n"/>
      <c r="M133" s="84" t="n"/>
      <c r="N133" s="84" t="n"/>
      <c r="O133" s="84" t="n"/>
      <c r="P133" s="102" t="n"/>
      <c r="Q133" s="103" t="n"/>
    </row>
    <row r="134" ht="20" customHeight="1">
      <c r="A134" s="89" t="n"/>
      <c r="B134" s="89" t="n"/>
      <c r="C134" s="89" t="n"/>
      <c r="D134" s="90" t="n"/>
      <c r="E134" s="91" t="n"/>
      <c r="F134" s="92" t="n"/>
      <c r="G134" s="93" t="n"/>
      <c r="H134" s="92" t="n"/>
      <c r="I134" s="89" t="n"/>
      <c r="J134" s="89" t="n"/>
      <c r="K134" s="89" t="n"/>
      <c r="L134" s="89" t="n"/>
      <c r="M134" s="89" t="n"/>
      <c r="N134" s="89" t="n"/>
      <c r="O134" s="89" t="n"/>
      <c r="P134" s="104" t="n"/>
      <c r="Q134" s="105" t="n"/>
    </row>
    <row r="135" ht="20" customHeight="1">
      <c r="A135" s="84" t="n"/>
      <c r="B135" s="84" t="n"/>
      <c r="C135" s="84" t="n"/>
      <c r="D135" s="85" t="n"/>
      <c r="E135" s="84" t="n"/>
      <c r="F135" s="87" t="n"/>
      <c r="G135" s="88" t="n"/>
      <c r="H135" s="84" t="n"/>
      <c r="I135" s="84" t="n"/>
      <c r="J135" s="95" t="n"/>
      <c r="K135" s="84" t="n"/>
      <c r="L135" s="85" t="n"/>
      <c r="M135" s="84" t="n"/>
      <c r="N135" s="84" t="n"/>
      <c r="O135" s="84" t="n"/>
      <c r="P135" s="102" t="n"/>
      <c r="Q135" s="103" t="n"/>
    </row>
    <row r="136" ht="20" customHeight="1">
      <c r="A136" s="89" t="n"/>
      <c r="B136" s="89" t="n"/>
      <c r="C136" s="89" t="n"/>
      <c r="D136" s="90" t="n"/>
      <c r="E136" s="91" t="n"/>
      <c r="F136" s="92" t="n"/>
      <c r="G136" s="93" t="n"/>
      <c r="H136" s="89" t="n"/>
      <c r="I136" s="89" t="n"/>
      <c r="J136" s="94" t="n"/>
      <c r="K136" s="89" t="n"/>
      <c r="L136" s="90" t="n"/>
      <c r="M136" s="89" t="n"/>
      <c r="N136" s="89" t="n"/>
      <c r="O136" s="89" t="n"/>
      <c r="P136" s="104" t="n"/>
      <c r="Q136" s="105" t="n"/>
    </row>
    <row r="137" ht="20" customHeight="1">
      <c r="A137" s="84" t="n"/>
      <c r="B137" s="84" t="n"/>
      <c r="C137" s="84" t="n"/>
      <c r="D137" s="85" t="n"/>
      <c r="E137" s="86" t="n"/>
      <c r="F137" s="87" t="n"/>
      <c r="G137" s="88" t="n"/>
      <c r="H137" s="84" t="n"/>
      <c r="I137" s="84" t="n"/>
      <c r="J137" s="95" t="n"/>
      <c r="K137" s="84" t="n"/>
      <c r="L137" s="85" t="n"/>
      <c r="M137" s="84" t="n"/>
      <c r="N137" s="84" t="n"/>
      <c r="O137" s="84" t="n"/>
      <c r="P137" s="102" t="n"/>
      <c r="Q137" s="103" t="n"/>
    </row>
    <row r="138" ht="20" customHeight="1">
      <c r="A138" s="89" t="n"/>
      <c r="B138" s="89" t="n"/>
      <c r="C138" s="89" t="n"/>
      <c r="D138" s="90" t="n"/>
      <c r="E138" s="89" t="n"/>
      <c r="F138" s="92" t="n"/>
      <c r="G138" s="93" t="n"/>
      <c r="H138" s="89" t="n"/>
      <c r="I138" s="89" t="n"/>
      <c r="J138" s="94" t="n"/>
      <c r="K138" s="89" t="n"/>
      <c r="L138" s="89" t="n"/>
      <c r="M138" s="89" t="n"/>
      <c r="N138" s="89" t="n"/>
      <c r="O138" s="89" t="n"/>
      <c r="P138" s="104" t="n"/>
      <c r="Q138" s="105" t="n"/>
    </row>
    <row r="139" ht="20" customHeight="1">
      <c r="A139" s="84" t="n"/>
      <c r="B139" s="84" t="n"/>
      <c r="C139" s="84" t="n"/>
      <c r="D139" s="85" t="n"/>
      <c r="E139" s="86" t="n"/>
      <c r="F139" s="87" t="n"/>
      <c r="G139" s="84" t="n"/>
      <c r="H139" s="84" t="n"/>
      <c r="I139" s="84" t="n"/>
      <c r="J139" s="84" t="n"/>
      <c r="K139" s="84" t="n"/>
      <c r="L139" s="85" t="n"/>
      <c r="M139" s="84" t="n"/>
      <c r="N139" s="84" t="n"/>
      <c r="O139" s="84" t="n"/>
      <c r="P139" s="102" t="n"/>
      <c r="Q139" s="103" t="n"/>
    </row>
    <row r="140" ht="20" customHeight="1">
      <c r="A140" s="89" t="n"/>
      <c r="B140" s="89" t="n"/>
      <c r="C140" s="89" t="n"/>
      <c r="D140" s="90" t="n"/>
      <c r="E140" s="91" t="n"/>
      <c r="F140" s="92" t="n"/>
      <c r="G140" s="93" t="n"/>
      <c r="H140" s="92" t="n"/>
      <c r="I140" s="89" t="n"/>
      <c r="J140" s="89" t="n"/>
      <c r="K140" s="89" t="n"/>
      <c r="L140" s="89" t="n"/>
      <c r="M140" s="89" t="n"/>
      <c r="N140" s="89" t="n"/>
      <c r="O140" s="89" t="n"/>
      <c r="P140" s="104" t="n"/>
      <c r="Q140" s="105" t="n"/>
    </row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autoFilter ref="A6:Q126"/>
  <mergeCells count="3">
    <mergeCell ref="A2:I2"/>
    <mergeCell ref="A3:I3"/>
    <mergeCell ref="C4:I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hidden="1" width="16" customWidth="1" min="2" max="2"/>
    <col width="15" customWidth="1" min="3" max="3"/>
    <col width="14" customWidth="1" min="4" max="4"/>
    <col width="10" customWidth="1" min="5" max="5"/>
    <col width="9" customWidth="1" min="6" max="6"/>
    <col width="17" customWidth="1" min="7" max="7"/>
    <col width="18" customWidth="1" min="8" max="8"/>
    <col width="13" customWidth="1" min="9" max="9"/>
    <col width="14" customWidth="1" min="10" max="10"/>
    <col width="24" customWidth="1" min="11" max="11"/>
    <col width="13" customWidth="1" min="12" max="12"/>
    <col width="30" customWidth="1" min="13" max="13"/>
    <col width="34" customWidth="1" min="14" max="14"/>
    <col width="34" customWidth="1" min="15" max="15"/>
    <col width="20" customWidth="1" min="16" max="16"/>
    <col width="21" customWidth="1" min="17" max="17"/>
  </cols>
  <sheetData>
    <row r="1" ht="20" customHeight="1"/>
    <row r="2" ht="20" customHeight="1">
      <c r="A2" s="1" t="inlineStr">
        <is>
          <t>Brauchwasserwärmepumpen (wandhängend, kompakt) – ηwh_m und SCOP</t>
        </is>
      </c>
    </row>
    <row r="3" ht="20" customHeight="1">
      <c r="A3" s="2" t="inlineStr">
        <is>
          <t>Wandmontage, i. d. R. 80–150 L – nicht für klassische Kelleraufstellung; Quellen wie Hauptblatt, Stand 23.09.2026</t>
        </is>
      </c>
    </row>
    <row r="4" ht="20" customHeight="1">
      <c r="A4" s="97" t="inlineStr">
        <is>
          <t>SCOP-Faktor</t>
        </is>
      </c>
      <c r="B4" s="97" t="n">
        <v>2.5</v>
      </c>
      <c r="C4" s="7" t="inlineStr">
        <is>
          <t>SCOP = ηwh_m (Dezimalwert) × Faktor. Liegt kein ηwh_m vor, steht der vom Hersteller angegebene SCOP/COP direkt in der Spalte – die Messbasis steht in Spalte "Quelle". Sortiert nach SCOP absteigend. Preise inkl. MwSt.</t>
        </is>
      </c>
    </row>
    <row r="5" ht="20" customHeight="1">
      <c r="A5" s="97" t="inlineStr">
        <is>
          <t>Strompreis (€/kWh)</t>
        </is>
      </c>
      <c r="B5" s="98" t="n">
        <v>0.3</v>
      </c>
      <c r="C5" s="97" t="inlineStr">
        <is>
          <t>Warmwasser-Bedarf (kWh/a)</t>
        </is>
      </c>
      <c r="D5" s="99" t="n">
        <v>2000</v>
      </c>
      <c r="E5" s="100" t="inlineStr">
        <is>
          <t>Wärmekosten = Strompreis ÷ SCOP · Jahreskosten = Bedarf × Strompreis ÷ SCOP</t>
        </is>
      </c>
    </row>
    <row r="6">
      <c r="A6" s="113" t="inlineStr">
        <is>
          <t>Markenname</t>
        </is>
      </c>
      <c r="B6" s="111" t="inlineStr">
        <is>
          <t>EHPA Gütesiegel</t>
        </is>
      </c>
      <c r="C6" s="111" t="inlineStr">
        <is>
          <t>EEff_Klasse_WWB</t>
        </is>
      </c>
      <c r="D6" s="111" t="inlineStr">
        <is>
          <t>V_Speicher (L)</t>
        </is>
      </c>
      <c r="E6" s="111" t="inlineStr">
        <is>
          <t>ηwh_m</t>
        </is>
      </c>
      <c r="F6" s="111" t="inlineStr">
        <is>
          <t>SCOP</t>
        </is>
      </c>
      <c r="G6" s="111" t="inlineStr">
        <is>
          <t>L_WA, Innen dB(A)</t>
        </is>
      </c>
      <c r="H6" s="111" t="inlineStr">
        <is>
          <t>Ssv_65°C (kWh/Tag)</t>
        </is>
      </c>
      <c r="I6" s="111" t="inlineStr">
        <is>
          <t>Kältemittel</t>
        </is>
      </c>
      <c r="J6" s="111" t="inlineStr">
        <is>
          <t>Preis (€)</t>
        </is>
      </c>
      <c r="K6" s="111" t="inlineStr">
        <is>
          <t>Wärmetauscher</t>
        </is>
      </c>
      <c r="L6" s="111" t="inlineStr">
        <is>
          <t>Heizstab (W)</t>
        </is>
      </c>
      <c r="M6" s="113" t="inlineStr">
        <is>
          <t>Quelle / SCOP-Basis</t>
        </is>
      </c>
      <c r="N6" s="113" t="inlineStr">
        <is>
          <t>Kesselmaterial</t>
        </is>
      </c>
      <c r="O6" s="113" t="inlineStr">
        <is>
          <t>Anodenart</t>
        </is>
      </c>
      <c r="P6" s="111" t="inlineStr">
        <is>
          <t>Wärmekosten (€/kWh)</t>
        </is>
      </c>
      <c r="Q6" s="111" t="inlineStr">
        <is>
          <t>Jahreskosten WW (€/a)</t>
        </is>
      </c>
    </row>
    <row r="7" ht="20" customHeight="1">
      <c r="A7" s="84" t="inlineStr">
        <is>
          <t>Austria Email Calypso VM 2 150 L</t>
        </is>
      </c>
      <c r="B7" s="114" t="inlineStr">
        <is>
          <t>–</t>
        </is>
      </c>
      <c r="C7" s="114" t="inlineStr">
        <is>
          <t>A+</t>
        </is>
      </c>
      <c r="D7" s="115" t="n">
        <v>150</v>
      </c>
      <c r="E7" s="116" t="inlineStr">
        <is>
          <t>–</t>
        </is>
      </c>
      <c r="F7" s="117" t="n">
        <v>3.82</v>
      </c>
      <c r="G7" s="118" t="n">
        <v>37</v>
      </c>
      <c r="H7" s="114" t="inlineStr">
        <is>
          <t>–</t>
        </is>
      </c>
      <c r="I7" s="114" t="inlineStr">
        <is>
          <t>R-290</t>
        </is>
      </c>
      <c r="J7" s="128" t="n">
        <v>1629</v>
      </c>
      <c r="K7" s="114" t="inlineStr">
        <is>
          <t>nein</t>
        </is>
      </c>
      <c r="L7" s="115" t="n">
        <v>1200</v>
      </c>
      <c r="M7" s="84" t="inlineStr">
        <is>
          <t>HD24 (COP A20)</t>
        </is>
      </c>
      <c r="N7" s="84" t="inlineStr">
        <is>
          <t>emailliert</t>
        </is>
      </c>
      <c r="O7" s="84" t="inlineStr">
        <is>
          <t>ACI-Hybrid (Titan/Mg)</t>
        </is>
      </c>
      <c r="P7" s="119">
        <f>IFERROR($B$5/F7,"–")</f>
        <v/>
      </c>
      <c r="Q7" s="120">
        <f>IFERROR($D$5*$B$5/F7,"–")</f>
        <v/>
      </c>
    </row>
    <row r="8" ht="20" customHeight="1">
      <c r="A8" s="89" t="inlineStr">
        <is>
          <t>Haier HP150M8-9</t>
        </is>
      </c>
      <c r="B8" s="121" t="inlineStr">
        <is>
          <t>–</t>
        </is>
      </c>
      <c r="C8" s="121" t="inlineStr">
        <is>
          <t>A+</t>
        </is>
      </c>
      <c r="D8" s="122" t="n">
        <v>149</v>
      </c>
      <c r="E8" s="123" t="inlineStr">
        <is>
          <t>–</t>
        </is>
      </c>
      <c r="F8" s="124" t="n">
        <v>3.39</v>
      </c>
      <c r="G8" s="125" t="n">
        <v>50</v>
      </c>
      <c r="H8" s="121" t="inlineStr">
        <is>
          <t>–</t>
        </is>
      </c>
      <c r="I8" s="121" t="inlineStr">
        <is>
          <t>R-290</t>
        </is>
      </c>
      <c r="J8" s="129" t="n">
        <v>1079</v>
      </c>
      <c r="K8" s="121" t="inlineStr">
        <is>
          <t>nein</t>
        </is>
      </c>
      <c r="L8" s="122" t="n">
        <v>1200</v>
      </c>
      <c r="M8" s="89" t="inlineStr">
        <is>
          <t>HD24 (COP 14 °C)</t>
        </is>
      </c>
      <c r="N8" s="89" t="inlineStr">
        <is>
          <t>–</t>
        </is>
      </c>
      <c r="O8" s="89" t="inlineStr">
        <is>
          <t>–</t>
        </is>
      </c>
      <c r="P8" s="126">
        <f>IFERROR($B$5/F8,"–")</f>
        <v/>
      </c>
      <c r="Q8" s="127">
        <f>IFERROR($D$5*$B$5/F8,"–")</f>
        <v/>
      </c>
    </row>
    <row r="9" ht="20" customHeight="1">
      <c r="A9" s="84" t="inlineStr">
        <is>
          <t>Haier HP110M8-9</t>
        </is>
      </c>
      <c r="B9" s="114" t="inlineStr">
        <is>
          <t>–</t>
        </is>
      </c>
      <c r="C9" s="114" t="inlineStr">
        <is>
          <t>A+</t>
        </is>
      </c>
      <c r="D9" s="115" t="n">
        <v>102</v>
      </c>
      <c r="E9" s="116" t="inlineStr">
        <is>
          <t>–</t>
        </is>
      </c>
      <c r="F9" s="117" t="n">
        <v>3.32</v>
      </c>
      <c r="G9" s="118" t="n">
        <v>50</v>
      </c>
      <c r="H9" s="114" t="inlineStr">
        <is>
          <t>–</t>
        </is>
      </c>
      <c r="I9" s="114" t="inlineStr">
        <is>
          <t>R-290</t>
        </is>
      </c>
      <c r="J9" s="128" t="n">
        <v>979</v>
      </c>
      <c r="K9" s="114" t="inlineStr">
        <is>
          <t>nein</t>
        </is>
      </c>
      <c r="L9" s="115" t="n">
        <v>1200</v>
      </c>
      <c r="M9" s="84" t="inlineStr">
        <is>
          <t>HD24 (COP 14 °C)</t>
        </is>
      </c>
      <c r="N9" s="84" t="inlineStr">
        <is>
          <t>–</t>
        </is>
      </c>
      <c r="O9" s="84" t="inlineStr">
        <is>
          <t>–</t>
        </is>
      </c>
      <c r="P9" s="119">
        <f>IFERROR($B$5/F9,"–")</f>
        <v/>
      </c>
      <c r="Q9" s="120">
        <f>IFERROR($D$5*$B$5/F9,"–")</f>
        <v/>
      </c>
    </row>
    <row r="10" ht="20" customHeight="1">
      <c r="A10" s="89" t="inlineStr">
        <is>
          <t>Austria Email Calypso VM 2 100 L</t>
        </is>
      </c>
      <c r="B10" s="121" t="inlineStr">
        <is>
          <t>–</t>
        </is>
      </c>
      <c r="C10" s="121" t="inlineStr">
        <is>
          <t>A+</t>
        </is>
      </c>
      <c r="D10" s="122" t="n">
        <v>100</v>
      </c>
      <c r="E10" s="123" t="inlineStr">
        <is>
          <t>–</t>
        </is>
      </c>
      <c r="F10" s="124" t="n">
        <v>3.23</v>
      </c>
      <c r="G10" s="125" t="n">
        <v>37</v>
      </c>
      <c r="H10" s="121" t="inlineStr">
        <is>
          <t>–</t>
        </is>
      </c>
      <c r="I10" s="121" t="inlineStr">
        <is>
          <t>R-290</t>
        </is>
      </c>
      <c r="J10" s="129" t="n">
        <v>1529</v>
      </c>
      <c r="K10" s="121" t="inlineStr">
        <is>
          <t>nein</t>
        </is>
      </c>
      <c r="L10" s="122" t="n">
        <v>1200</v>
      </c>
      <c r="M10" s="89" t="inlineStr">
        <is>
          <t>HD24 (COP A14)</t>
        </is>
      </c>
      <c r="N10" s="89" t="inlineStr">
        <is>
          <t>emailliert</t>
        </is>
      </c>
      <c r="O10" s="89" t="inlineStr">
        <is>
          <t>ACI-Hybrid (Titan/Mg)</t>
        </is>
      </c>
      <c r="P10" s="126">
        <f>IFERROR($B$5/F10,"–")</f>
        <v/>
      </c>
      <c r="Q10" s="127">
        <f>IFERROR($D$5*$B$5/F10,"–")</f>
        <v/>
      </c>
    </row>
    <row r="11" ht="20" customHeight="1">
      <c r="A11" s="84" t="inlineStr">
        <is>
          <t>Haier HP80M8-9</t>
        </is>
      </c>
      <c r="B11" s="114" t="inlineStr">
        <is>
          <t>–</t>
        </is>
      </c>
      <c r="C11" s="114" t="inlineStr">
        <is>
          <t>A+</t>
        </is>
      </c>
      <c r="D11" s="115" t="n">
        <v>82</v>
      </c>
      <c r="E11" s="116" t="inlineStr">
        <is>
          <t>–</t>
        </is>
      </c>
      <c r="F11" s="117" t="n">
        <v>3.07</v>
      </c>
      <c r="G11" s="118" t="n">
        <v>50</v>
      </c>
      <c r="H11" s="114" t="inlineStr">
        <is>
          <t>–</t>
        </is>
      </c>
      <c r="I11" s="114" t="inlineStr">
        <is>
          <t>R-290</t>
        </is>
      </c>
      <c r="J11" s="128" t="n">
        <v>879</v>
      </c>
      <c r="K11" s="114" t="inlineStr">
        <is>
          <t>nein</t>
        </is>
      </c>
      <c r="L11" s="115" t="n">
        <v>1200</v>
      </c>
      <c r="M11" s="84" t="inlineStr">
        <is>
          <t>HD24 (COP 14 °C)</t>
        </is>
      </c>
      <c r="N11" s="84" t="inlineStr">
        <is>
          <t>–</t>
        </is>
      </c>
      <c r="O11" s="84" t="inlineStr">
        <is>
          <t>–</t>
        </is>
      </c>
      <c r="P11" s="119">
        <f>IFERROR($B$5/F11,"–")</f>
        <v/>
      </c>
      <c r="Q11" s="120">
        <f>IFERROR($D$5*$B$5/F11,"–")</f>
        <v/>
      </c>
    </row>
    <row r="12" ht="20" customHeight="1">
      <c r="A12" s="89" t="inlineStr">
        <is>
          <t>Alarko FLR-HWH-150WH</t>
        </is>
      </c>
      <c r="B12" s="121" t="inlineStr">
        <is>
          <t>–</t>
        </is>
      </c>
      <c r="C12" s="121" t="inlineStr">
        <is>
          <t>A</t>
        </is>
      </c>
      <c r="D12" s="122" t="n">
        <v>145</v>
      </c>
      <c r="E12" s="123" t="inlineStr">
        <is>
          <t>–</t>
        </is>
      </c>
      <c r="F12" s="124" t="n">
        <v>3.02</v>
      </c>
      <c r="G12" s="125" t="n">
        <v>56</v>
      </c>
      <c r="H12" s="121" t="inlineStr">
        <is>
          <t>–</t>
        </is>
      </c>
      <c r="I12" s="121" t="inlineStr">
        <is>
          <t>R-290</t>
        </is>
      </c>
      <c r="J12" s="129" t="n">
        <v>1198</v>
      </c>
      <c r="K12" s="121" t="inlineStr">
        <is>
          <t>nein</t>
        </is>
      </c>
      <c r="L12" s="122" t="n">
        <v>1500</v>
      </c>
      <c r="M12" s="89" t="inlineStr">
        <is>
          <t>HD24 (COP EN16147 15/12 °C)</t>
        </is>
      </c>
      <c r="N12" s="89" t="inlineStr">
        <is>
          <t>–</t>
        </is>
      </c>
      <c r="O12" s="89" t="inlineStr">
        <is>
          <t>–</t>
        </is>
      </c>
      <c r="P12" s="126">
        <f>IFERROR($B$5/F12,"–")</f>
        <v/>
      </c>
      <c r="Q12" s="127">
        <f>IFERROR($D$5*$B$5/F12,"–")</f>
        <v/>
      </c>
    </row>
    <row r="13" ht="20" customHeight="1">
      <c r="A13" s="84" t="inlineStr">
        <is>
          <t>LG Therma V WH15ESF0.HA</t>
        </is>
      </c>
      <c r="B13" s="114" t="inlineStr">
        <is>
          <t>–</t>
        </is>
      </c>
      <c r="C13" s="114" t="inlineStr">
        <is>
          <t>A+</t>
        </is>
      </c>
      <c r="D13" s="115" t="n">
        <v>150</v>
      </c>
      <c r="E13" s="116" t="inlineStr">
        <is>
          <t>–</t>
        </is>
      </c>
      <c r="F13" s="117" t="n">
        <v>3</v>
      </c>
      <c r="G13" s="118" t="n">
        <v>45</v>
      </c>
      <c r="H13" s="114" t="inlineStr">
        <is>
          <t>–</t>
        </is>
      </c>
      <c r="I13" s="114" t="inlineStr">
        <is>
          <t>R-290</t>
        </is>
      </c>
      <c r="J13" s="128" t="n">
        <v>1598</v>
      </c>
      <c r="K13" s="114" t="inlineStr">
        <is>
          <t>nein</t>
        </is>
      </c>
      <c r="L13" s="114" t="inlineStr">
        <is>
          <t>–</t>
        </is>
      </c>
      <c r="M13" s="84" t="inlineStr">
        <is>
          <t>HD24 (COP A15/W35)</t>
        </is>
      </c>
      <c r="N13" s="84" t="inlineStr">
        <is>
          <t>–</t>
        </is>
      </c>
      <c r="O13" s="84" t="inlineStr">
        <is>
          <t>–</t>
        </is>
      </c>
      <c r="P13" s="119">
        <f>IFERROR($B$5/F13,"–")</f>
        <v/>
      </c>
      <c r="Q13" s="120">
        <f>IFERROR($D$5*$B$5/F13,"–")</f>
        <v/>
      </c>
    </row>
    <row r="14" ht="20" customHeight="1">
      <c r="A14" s="89" t="inlineStr">
        <is>
          <t>Panasonic Aquarea P-DHW150AE5</t>
        </is>
      </c>
      <c r="B14" s="121" t="inlineStr">
        <is>
          <t>–</t>
        </is>
      </c>
      <c r="C14" s="121" t="inlineStr">
        <is>
          <t>A+</t>
        </is>
      </c>
      <c r="D14" s="122" t="n">
        <v>142</v>
      </c>
      <c r="E14" s="123" t="n">
        <v>1.17</v>
      </c>
      <c r="F14" s="124">
        <f>E14*$B$4</f>
        <v/>
      </c>
      <c r="G14" s="125" t="n">
        <v>50</v>
      </c>
      <c r="H14" s="121" t="inlineStr">
        <is>
          <t>–</t>
        </is>
      </c>
      <c r="I14" s="121" t="inlineStr">
        <is>
          <t>R-290</t>
        </is>
      </c>
      <c r="J14" s="129" t="n">
        <v>1598</v>
      </c>
      <c r="K14" s="121" t="inlineStr">
        <is>
          <t>nein</t>
        </is>
      </c>
      <c r="L14" s="122" t="n">
        <v>1500</v>
      </c>
      <c r="M14" s="89" t="inlineStr">
        <is>
          <t>HD24 (ηwh_m × Faktor)</t>
        </is>
      </c>
      <c r="N14" s="89" t="inlineStr">
        <is>
          <t>emailliert</t>
        </is>
      </c>
      <c r="O14" s="89" t="inlineStr">
        <is>
          <t>Magnesiumanode (Trockenkontrolle)</t>
        </is>
      </c>
      <c r="P14" s="126">
        <f>IFERROR($B$5/F14,"–")</f>
        <v/>
      </c>
      <c r="Q14" s="127">
        <f>IFERROR($D$5*$B$5/F14,"–")</f>
        <v/>
      </c>
    </row>
    <row r="15" ht="20" customHeight="1">
      <c r="A15" s="84" t="inlineStr">
        <is>
          <t>Panasonic Aquarea P-DHW100AE5</t>
        </is>
      </c>
      <c r="B15" s="114" t="inlineStr">
        <is>
          <t>–</t>
        </is>
      </c>
      <c r="C15" s="114" t="inlineStr">
        <is>
          <t>A+</t>
        </is>
      </c>
      <c r="D15" s="115" t="n">
        <v>100</v>
      </c>
      <c r="E15" s="114" t="inlineStr">
        <is>
          <t>–</t>
        </is>
      </c>
      <c r="F15" s="117" t="n">
        <v>2.8</v>
      </c>
      <c r="G15" s="118" t="n">
        <v>50</v>
      </c>
      <c r="H15" s="114" t="inlineStr">
        <is>
          <t>–</t>
        </is>
      </c>
      <c r="I15" s="114" t="inlineStr">
        <is>
          <t>R-290</t>
        </is>
      </c>
      <c r="J15" s="128" t="n">
        <v>1469</v>
      </c>
      <c r="K15" s="114" t="inlineStr">
        <is>
          <t>nein</t>
        </is>
      </c>
      <c r="L15" s="115" t="n">
        <v>1500</v>
      </c>
      <c r="M15" s="84" t="inlineStr">
        <is>
          <t>HD24 (SCOP Hersteller)</t>
        </is>
      </c>
      <c r="N15" s="84" t="inlineStr">
        <is>
          <t>emailliert</t>
        </is>
      </c>
      <c r="O15" s="84" t="inlineStr">
        <is>
          <t>Magnesiumanode (Trockenkontrolle)</t>
        </is>
      </c>
      <c r="P15" s="119">
        <f>IFERROR($B$5/F15,"–")</f>
        <v/>
      </c>
      <c r="Q15" s="120">
        <f>IFERROR($D$5*$B$5/F15,"–")</f>
        <v/>
      </c>
    </row>
    <row r="16" ht="20" customHeight="1">
      <c r="A16" s="89" t="inlineStr">
        <is>
          <t>Alarko FLR-HWH-80WH</t>
        </is>
      </c>
      <c r="B16" s="121" t="inlineStr">
        <is>
          <t>–</t>
        </is>
      </c>
      <c r="C16" s="121" t="inlineStr">
        <is>
          <t>A</t>
        </is>
      </c>
      <c r="D16" s="122" t="n">
        <v>78</v>
      </c>
      <c r="E16" s="123" t="inlineStr">
        <is>
          <t>–</t>
        </is>
      </c>
      <c r="F16" s="124" t="n">
        <v>2.75</v>
      </c>
      <c r="G16" s="125" t="n">
        <v>54</v>
      </c>
      <c r="H16" s="121" t="inlineStr">
        <is>
          <t>–</t>
        </is>
      </c>
      <c r="I16" s="121" t="inlineStr">
        <is>
          <t>R-290</t>
        </is>
      </c>
      <c r="J16" s="129" t="n">
        <v>1009</v>
      </c>
      <c r="K16" s="121" t="inlineStr">
        <is>
          <t>nein</t>
        </is>
      </c>
      <c r="L16" s="122" t="n">
        <v>1500</v>
      </c>
      <c r="M16" s="89" t="inlineStr">
        <is>
          <t>HD24 (COP EN16147 15/12 °C)</t>
        </is>
      </c>
      <c r="N16" s="89" t="inlineStr">
        <is>
          <t>–</t>
        </is>
      </c>
      <c r="O16" s="89" t="inlineStr">
        <is>
          <t>–</t>
        </is>
      </c>
      <c r="P16" s="126">
        <f>IFERROR($B$5/F16,"–")</f>
        <v/>
      </c>
      <c r="Q16" s="127">
        <f>IFERROR($D$5*$B$5/F16,"–")</f>
        <v/>
      </c>
    </row>
    <row r="17" ht="20" customHeight="1">
      <c r="A17" s="84" t="inlineStr">
        <is>
          <t>Alarko FLR-HWH-100WH</t>
        </is>
      </c>
      <c r="B17" s="114" t="inlineStr">
        <is>
          <t>–</t>
        </is>
      </c>
      <c r="C17" s="114" t="inlineStr">
        <is>
          <t>A</t>
        </is>
      </c>
      <c r="D17" s="115" t="n">
        <v>98</v>
      </c>
      <c r="E17" s="116" t="inlineStr">
        <is>
          <t>–</t>
        </is>
      </c>
      <c r="F17" s="117" t="n">
        <v>2.74</v>
      </c>
      <c r="G17" s="118" t="n">
        <v>54</v>
      </c>
      <c r="H17" s="114" t="inlineStr">
        <is>
          <t>–</t>
        </is>
      </c>
      <c r="I17" s="114" t="inlineStr">
        <is>
          <t>R-290</t>
        </is>
      </c>
      <c r="J17" s="128" t="n">
        <v>1089</v>
      </c>
      <c r="K17" s="114" t="inlineStr">
        <is>
          <t>nein</t>
        </is>
      </c>
      <c r="L17" s="115" t="n">
        <v>1500</v>
      </c>
      <c r="M17" s="84" t="inlineStr">
        <is>
          <t>HD24 (COP EN16147 15/12 °C)</t>
        </is>
      </c>
      <c r="N17" s="84" t="inlineStr">
        <is>
          <t>–</t>
        </is>
      </c>
      <c r="O17" s="84" t="inlineStr">
        <is>
          <t>–</t>
        </is>
      </c>
      <c r="P17" s="119">
        <f>IFERROR($B$5/F17,"–")</f>
        <v/>
      </c>
      <c r="Q17" s="120">
        <f>IFERROR($D$5*$B$5/F17,"–")</f>
        <v/>
      </c>
    </row>
    <row r="18" ht="20" customHeight="1">
      <c r="A18" s="89" t="inlineStr">
        <is>
          <t>LG Therma V WH10ESF0.HA</t>
        </is>
      </c>
      <c r="B18" s="121" t="inlineStr">
        <is>
          <t>–</t>
        </is>
      </c>
      <c r="C18" s="121" t="inlineStr">
        <is>
          <t>A+</t>
        </is>
      </c>
      <c r="D18" s="122" t="n">
        <v>100</v>
      </c>
      <c r="E18" s="121" t="inlineStr">
        <is>
          <t>–</t>
        </is>
      </c>
      <c r="F18" s="124" t="n">
        <v>2.7</v>
      </c>
      <c r="G18" s="125" t="n">
        <v>45</v>
      </c>
      <c r="H18" s="121" t="inlineStr">
        <is>
          <t>–</t>
        </is>
      </c>
      <c r="I18" s="121" t="inlineStr">
        <is>
          <t>R-290</t>
        </is>
      </c>
      <c r="J18" s="129" t="n">
        <v>1398</v>
      </c>
      <c r="K18" s="121" t="inlineStr">
        <is>
          <t>nein</t>
        </is>
      </c>
      <c r="L18" s="121" t="inlineStr">
        <is>
          <t>–</t>
        </is>
      </c>
      <c r="M18" s="89" t="inlineStr">
        <is>
          <t>HD24 (COP A15/W35)</t>
        </is>
      </c>
      <c r="N18" s="89" t="inlineStr">
        <is>
          <t>–</t>
        </is>
      </c>
      <c r="O18" s="89" t="inlineStr">
        <is>
          <t>–</t>
        </is>
      </c>
      <c r="P18" s="126">
        <f>IFERROR($B$5/F18,"–")</f>
        <v/>
      </c>
      <c r="Q18" s="127">
        <f>IFERROR($D$5*$B$5/F18,"–")</f>
        <v/>
      </c>
    </row>
    <row r="19" ht="20" customHeight="1">
      <c r="A19" s="84" t="inlineStr">
        <is>
          <t>Dimplex DHW 100PWH</t>
        </is>
      </c>
      <c r="B19" s="114" t="inlineStr">
        <is>
          <t>–</t>
        </is>
      </c>
      <c r="C19" s="114" t="inlineStr">
        <is>
          <t>A</t>
        </is>
      </c>
      <c r="D19" s="115" t="n">
        <v>100</v>
      </c>
      <c r="E19" s="116" t="inlineStr">
        <is>
          <t>–</t>
        </is>
      </c>
      <c r="F19" s="117" t="n">
        <v>2.7</v>
      </c>
      <c r="G19" s="114" t="inlineStr">
        <is>
          <t>–</t>
        </is>
      </c>
      <c r="H19" s="114" t="inlineStr">
        <is>
          <t>–</t>
        </is>
      </c>
      <c r="I19" s="114" t="inlineStr">
        <is>
          <t>R-290</t>
        </is>
      </c>
      <c r="J19" s="114" t="inlineStr">
        <is>
          <t>–</t>
        </is>
      </c>
      <c r="K19" s="114" t="inlineStr">
        <is>
          <t>nein</t>
        </is>
      </c>
      <c r="L19" s="115" t="n">
        <v>1000</v>
      </c>
      <c r="M19" s="84" t="inlineStr">
        <is>
          <t>Dimplex/Zajadacz (COP A15; A7: 2,4; Lastprofil M)</t>
        </is>
      </c>
      <c r="N19" s="84" t="inlineStr">
        <is>
          <t>Stahl emailliert</t>
        </is>
      </c>
      <c r="O19" s="84" t="inlineStr">
        <is>
          <t>Magnesiumanode</t>
        </is>
      </c>
      <c r="P19" s="119">
        <f>IFERROR($B$5/F19,"–")</f>
        <v/>
      </c>
      <c r="Q19" s="120">
        <f>IFERROR($D$5*$B$5/F19,"–")</f>
        <v/>
      </c>
    </row>
    <row r="20" ht="20" customHeight="1">
      <c r="A20" s="89" t="inlineStr">
        <is>
          <t>Vaillant fluoSTOR VWH B 150/1</t>
        </is>
      </c>
      <c r="B20" s="121" t="inlineStr">
        <is>
          <t>21.02.2027</t>
        </is>
      </c>
      <c r="C20" s="121" t="inlineStr">
        <is>
          <t>A+</t>
        </is>
      </c>
      <c r="D20" s="122" t="n">
        <v>150</v>
      </c>
      <c r="E20" s="123" t="n">
        <v>1.042</v>
      </c>
      <c r="F20" s="124">
        <f>E20*$B$4</f>
        <v/>
      </c>
      <c r="G20" s="125" t="n">
        <v>44</v>
      </c>
      <c r="H20" s="124" t="n">
        <v>0</v>
      </c>
      <c r="I20" s="121" t="inlineStr">
        <is>
          <t>R-290</t>
        </is>
      </c>
      <c r="J20" s="121" t="inlineStr">
        <is>
          <t>–</t>
        </is>
      </c>
      <c r="K20" s="121" t="inlineStr">
        <is>
          <t>–</t>
        </is>
      </c>
      <c r="L20" s="121" t="inlineStr">
        <is>
          <t>–</t>
        </is>
      </c>
      <c r="M20" s="89" t="inlineStr">
        <is>
          <t>GET-DB (ηwh_m × Faktor)</t>
        </is>
      </c>
      <c r="N20" s="89" t="inlineStr">
        <is>
          <t>emaillierter Stahl</t>
        </is>
      </c>
      <c r="O20" s="89" t="inlineStr">
        <is>
          <t>Magnesiumanode</t>
        </is>
      </c>
      <c r="P20" s="126">
        <f>IFERROR($B$5/F20,"–")</f>
        <v/>
      </c>
      <c r="Q20" s="127">
        <f>IFERROR($D$5*$B$5/F20,"–")</f>
        <v/>
      </c>
    </row>
  </sheetData>
  <autoFilter ref="A6:Q20"/>
  <mergeCells count="3">
    <mergeCell ref="A3:I3"/>
    <mergeCell ref="A2:I2"/>
    <mergeCell ref="C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2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hidden="1" width="16" customWidth="1" min="2" max="2"/>
    <col width="15" customWidth="1" min="3" max="3"/>
    <col width="14" customWidth="1" min="4" max="4"/>
    <col width="10" customWidth="1" min="5" max="5"/>
    <col width="9" customWidth="1" min="6" max="6"/>
    <col width="17" customWidth="1" min="7" max="7"/>
    <col width="18" customWidth="1" min="8" max="8"/>
    <col width="13" customWidth="1" min="9" max="9"/>
    <col width="14" customWidth="1" min="10" max="10"/>
    <col width="24" customWidth="1" min="11" max="11"/>
    <col width="13" customWidth="1" min="12" max="12"/>
    <col width="30" customWidth="1" min="13" max="13"/>
    <col width="34" customWidth="1" min="14" max="14"/>
    <col width="34" customWidth="1" min="15" max="15"/>
    <col width="20" customWidth="1" min="16" max="16"/>
    <col width="21" customWidth="1" min="17" max="17"/>
  </cols>
  <sheetData>
    <row r="1" ht="20" customHeight="1"/>
    <row r="2" ht="20" customHeight="1">
      <c r="A2" s="1" t="inlineStr">
        <is>
          <t>Brauchwasserwärmepumpen 200-Liter-Klasse – ηwh_m und SCOP</t>
        </is>
      </c>
    </row>
    <row r="3" ht="20" customHeight="1">
      <c r="A3" s="2" t="inlineStr">
        <is>
          <t>Bodenstehende Geräte mit 180–229 L Speicherinhalt; Auszug aus dem Reiter „Übersicht", Stand 23.09.2026</t>
        </is>
      </c>
    </row>
    <row r="4" ht="20" customHeight="1">
      <c r="A4" s="97" t="inlineStr">
        <is>
          <t>SCOP-Faktor</t>
        </is>
      </c>
      <c r="B4" s="97" t="n">
        <v>2.5</v>
      </c>
      <c r="C4" s="7" t="inlineStr">
        <is>
          <t>SCOP = ηwh_m (Dezimalwert) × Faktor. Liegt kein ηwh_m vor, steht der vom Hersteller angegebene SCOP/COP direkt in der Spalte – die Messbasis steht in Spalte "Quelle". Sortiert nach SCOP absteigend. Preise inkl. MwSt.</t>
        </is>
      </c>
    </row>
    <row r="5" ht="20" customHeight="1">
      <c r="A5" s="97" t="inlineStr">
        <is>
          <t>Strompreis (€/kWh)</t>
        </is>
      </c>
      <c r="B5" s="98" t="n">
        <v>0.3</v>
      </c>
      <c r="C5" s="97" t="inlineStr">
        <is>
          <t>Warmwasser-Bedarf (kWh/a)</t>
        </is>
      </c>
      <c r="D5" s="99" t="n">
        <v>2000</v>
      </c>
      <c r="E5" s="100" t="inlineStr">
        <is>
          <t>Wärmekosten = Strompreis ÷ SCOP · Jahreskosten = Bedarf × Strompreis ÷ SCOP</t>
        </is>
      </c>
    </row>
    <row r="6">
      <c r="A6" s="113" t="inlineStr">
        <is>
          <t>Markenname</t>
        </is>
      </c>
      <c r="B6" s="111" t="inlineStr">
        <is>
          <t>EHPA Gütesiegel</t>
        </is>
      </c>
      <c r="C6" s="111" t="inlineStr">
        <is>
          <t>EEff_Klasse_WWB</t>
        </is>
      </c>
      <c r="D6" s="111" t="inlineStr">
        <is>
          <t>V_Speicher (L)</t>
        </is>
      </c>
      <c r="E6" s="111" t="inlineStr">
        <is>
          <t>ηwh_m</t>
        </is>
      </c>
      <c r="F6" s="111" t="inlineStr">
        <is>
          <t>SCOP</t>
        </is>
      </c>
      <c r="G6" s="111" t="inlineStr">
        <is>
          <t>L_WA, Innen dB(A)</t>
        </is>
      </c>
      <c r="H6" s="111" t="inlineStr">
        <is>
          <t>Ssv_65°C (kWh/Tag)</t>
        </is>
      </c>
      <c r="I6" s="111" t="inlineStr">
        <is>
          <t>Kältemittel</t>
        </is>
      </c>
      <c r="J6" s="111" t="inlineStr">
        <is>
          <t>Preis (€)</t>
        </is>
      </c>
      <c r="K6" s="111" t="inlineStr">
        <is>
          <t>Wärmetauscher</t>
        </is>
      </c>
      <c r="L6" s="111" t="inlineStr">
        <is>
          <t>Heizstab (W)</t>
        </is>
      </c>
      <c r="M6" s="113" t="inlineStr">
        <is>
          <t>Quelle / SCOP-Basis</t>
        </is>
      </c>
      <c r="N6" s="113" t="inlineStr">
        <is>
          <t>Kesselmaterial</t>
        </is>
      </c>
      <c r="O6" s="113" t="inlineStr">
        <is>
          <t>Anodenart</t>
        </is>
      </c>
      <c r="P6" s="111" t="inlineStr">
        <is>
          <t>Wärmekosten (€/kWh)</t>
        </is>
      </c>
      <c r="Q6" s="111" t="inlineStr">
        <is>
          <t>Jahreskosten WW (€/a)</t>
        </is>
      </c>
    </row>
    <row r="7" ht="20" customHeight="1">
      <c r="A7" s="130" t="inlineStr">
        <is>
          <t>Stiebel Eltron WWK-I 200 Plus</t>
        </is>
      </c>
      <c r="B7" s="114" t="inlineStr">
        <is>
          <t>23.01.2028</t>
        </is>
      </c>
      <c r="C7" s="114" t="inlineStr">
        <is>
          <t>A++</t>
        </is>
      </c>
      <c r="D7" s="115" t="n">
        <v>200</v>
      </c>
      <c r="E7" s="116" t="n">
        <v>1.76</v>
      </c>
      <c r="F7" s="117">
        <f>E7*$B$4</f>
        <v/>
      </c>
      <c r="G7" s="118" t="n">
        <v>59</v>
      </c>
      <c r="H7" s="117" t="n">
        <v>0</v>
      </c>
      <c r="I7" s="114" t="inlineStr">
        <is>
          <t>R-290</t>
        </is>
      </c>
      <c r="J7" s="114" t="inlineStr">
        <is>
          <t>–</t>
        </is>
      </c>
      <c r="K7" s="114" t="inlineStr">
        <is>
          <t>–</t>
        </is>
      </c>
      <c r="L7" s="114" t="inlineStr">
        <is>
          <t>–</t>
        </is>
      </c>
      <c r="M7" s="130" t="inlineStr">
        <is>
          <t>GET-DB (ηwh_m × Faktor)</t>
        </is>
      </c>
      <c r="N7" s="130" t="inlineStr">
        <is>
          <t>emailliert</t>
        </is>
      </c>
      <c r="O7" s="130" t="inlineStr">
        <is>
          <t>–</t>
        </is>
      </c>
      <c r="P7" s="119">
        <f>IFERROR($B$5/F7,"–")</f>
        <v/>
      </c>
      <c r="Q7" s="120">
        <f>IFERROR($D$5*$B$5/F7,"–")</f>
        <v/>
      </c>
    </row>
    <row r="8" ht="20" customHeight="1">
      <c r="A8" s="131" t="inlineStr">
        <is>
          <t>OCHSNER EUROPA N 200 CA</t>
        </is>
      </c>
      <c r="B8" s="121" t="inlineStr">
        <is>
          <t>02.04.2028</t>
        </is>
      </c>
      <c r="C8" s="121" t="inlineStr">
        <is>
          <t>A++</t>
        </is>
      </c>
      <c r="D8" s="122" t="n">
        <v>200</v>
      </c>
      <c r="E8" s="123" t="n">
        <v>1.757</v>
      </c>
      <c r="F8" s="124">
        <f>E8*$B$4</f>
        <v/>
      </c>
      <c r="G8" s="125" t="n">
        <v>59</v>
      </c>
      <c r="H8" s="124" t="n">
        <v>0</v>
      </c>
      <c r="I8" s="121" t="inlineStr">
        <is>
          <t>R-290</t>
        </is>
      </c>
      <c r="J8" s="121" t="inlineStr">
        <is>
          <t>–</t>
        </is>
      </c>
      <c r="K8" s="121" t="inlineStr">
        <is>
          <t>nein</t>
        </is>
      </c>
      <c r="L8" s="122" t="n">
        <v>1500</v>
      </c>
      <c r="M8" s="131" t="inlineStr">
        <is>
          <t>GET-DB + OCHSNER-Datenblatt (ηwh_m × Faktor; COP lt. Hersteller 4,27 bei A20)</t>
        </is>
      </c>
      <c r="N8" s="131" t="inlineStr">
        <is>
          <t>–</t>
        </is>
      </c>
      <c r="O8" s="131" t="inlineStr">
        <is>
          <t>–</t>
        </is>
      </c>
      <c r="P8" s="126">
        <f>IFERROR($B$5/F8,"–")</f>
        <v/>
      </c>
      <c r="Q8" s="127">
        <f>IFERROR($D$5*$B$5/F8,"–")</f>
        <v/>
      </c>
    </row>
    <row r="9" ht="20" customHeight="1">
      <c r="A9" s="130" t="inlineStr">
        <is>
          <t>Kermi x-change aqua eco L</t>
        </is>
      </c>
      <c r="B9" s="114" t="inlineStr">
        <is>
          <t>–</t>
        </is>
      </c>
      <c r="C9" s="114" t="inlineStr">
        <is>
          <t>A+</t>
        </is>
      </c>
      <c r="D9" s="115" t="n">
        <v>185</v>
      </c>
      <c r="E9" s="116" t="inlineStr">
        <is>
          <t>–</t>
        </is>
      </c>
      <c r="F9" s="117" t="n">
        <v>3.91</v>
      </c>
      <c r="G9" s="118" t="n">
        <v>56</v>
      </c>
      <c r="H9" s="114" t="inlineStr">
        <is>
          <t>–</t>
        </is>
      </c>
      <c r="I9" s="114" t="inlineStr">
        <is>
          <t>R-290</t>
        </is>
      </c>
      <c r="J9" s="128" t="n">
        <v>1555</v>
      </c>
      <c r="K9" s="114" t="inlineStr">
        <is>
          <t>nein</t>
        </is>
      </c>
      <c r="L9" s="115" t="n">
        <v>2200</v>
      </c>
      <c r="M9" s="130" t="inlineStr">
        <is>
          <t>HD24 (COP A20/W10-53)</t>
        </is>
      </c>
      <c r="N9" s="130" t="inlineStr">
        <is>
          <t>emailliert</t>
        </is>
      </c>
      <c r="O9" s="130" t="inlineStr">
        <is>
          <t>–</t>
        </is>
      </c>
      <c r="P9" s="119">
        <f>IFERROR($B$5/F9,"–")</f>
        <v/>
      </c>
      <c r="Q9" s="120">
        <f>IFERROR($D$5*$B$5/F9,"–")</f>
        <v/>
      </c>
    </row>
    <row r="10" ht="20" customHeight="1">
      <c r="A10" s="131" t="inlineStr">
        <is>
          <t>ELCO AEROTOP DHW.3 200</t>
        </is>
      </c>
      <c r="B10" s="121" t="inlineStr">
        <is>
          <t>–</t>
        </is>
      </c>
      <c r="C10" s="121" t="inlineStr">
        <is>
          <t>A+</t>
        </is>
      </c>
      <c r="D10" s="122" t="n">
        <v>200</v>
      </c>
      <c r="E10" s="123" t="inlineStr">
        <is>
          <t>–</t>
        </is>
      </c>
      <c r="F10" s="124" t="n">
        <v>3.8</v>
      </c>
      <c r="G10" s="125" t="n">
        <v>48</v>
      </c>
      <c r="H10" s="121" t="inlineStr">
        <is>
          <t>–</t>
        </is>
      </c>
      <c r="I10" s="121" t="inlineStr">
        <is>
          <t>R-290</t>
        </is>
      </c>
      <c r="J10" s="121" t="inlineStr">
        <is>
          <t>–</t>
        </is>
      </c>
      <c r="K10" s="121" t="inlineStr">
        <is>
          <t>nein</t>
        </is>
      </c>
      <c r="L10" s="121" t="inlineStr">
        <is>
          <t>–</t>
        </is>
      </c>
      <c r="M10" s="131" t="inlineStr">
        <is>
          <t>elco.de (COP A20/W10-55; A7: 3,4)</t>
        </is>
      </c>
      <c r="N10" s="131" t="inlineStr">
        <is>
          <t>–</t>
        </is>
      </c>
      <c r="O10" s="131" t="inlineStr">
        <is>
          <t>–</t>
        </is>
      </c>
      <c r="P10" s="126">
        <f>IFERROR($B$5/F10,"–")</f>
        <v/>
      </c>
      <c r="Q10" s="127">
        <f>IFERROR($D$5*$B$5/F10,"–")</f>
        <v/>
      </c>
    </row>
    <row r="11" ht="20" customHeight="1">
      <c r="A11" s="130" t="inlineStr">
        <is>
          <t>Austria Email Explorer Evo 3 200L</t>
        </is>
      </c>
      <c r="B11" s="114" t="inlineStr">
        <is>
          <t>–</t>
        </is>
      </c>
      <c r="C11" s="114" t="inlineStr">
        <is>
          <t>A+</t>
        </is>
      </c>
      <c r="D11" s="115" t="n">
        <v>200</v>
      </c>
      <c r="E11" s="116" t="n">
        <v>1.5</v>
      </c>
      <c r="F11" s="117">
        <f>E11*$B$4</f>
        <v/>
      </c>
      <c r="G11" s="118" t="n">
        <v>47</v>
      </c>
      <c r="H11" s="114" t="inlineStr">
        <is>
          <t>–</t>
        </is>
      </c>
      <c r="I11" s="114" t="inlineStr">
        <is>
          <t>R-290</t>
        </is>
      </c>
      <c r="J11" s="128" t="n">
        <v>1949</v>
      </c>
      <c r="K11" s="114" t="inlineStr">
        <is>
          <t>nein</t>
        </is>
      </c>
      <c r="L11" s="115" t="n">
        <v>1200</v>
      </c>
      <c r="M11" s="130" t="inlineStr">
        <is>
          <t>HD24 (ηwh_m × Faktor)</t>
        </is>
      </c>
      <c r="N11" s="130" t="inlineStr">
        <is>
          <t>emailliert</t>
        </is>
      </c>
      <c r="O11" s="130" t="inlineStr">
        <is>
          <t>ACI-Hybrid (Titan/Mg)</t>
        </is>
      </c>
      <c r="P11" s="119">
        <f>IFERROR($B$5/F11,"–")</f>
        <v/>
      </c>
      <c r="Q11" s="120">
        <f>IFERROR($D$5*$B$5/F11,"–")</f>
        <v/>
      </c>
    </row>
    <row r="12" ht="20" customHeight="1">
      <c r="A12" s="131" t="inlineStr">
        <is>
          <t>Panasonic Aquarea P-DHW200AE5</t>
        </is>
      </c>
      <c r="B12" s="121" t="inlineStr">
        <is>
          <t>–</t>
        </is>
      </c>
      <c r="C12" s="121" t="inlineStr">
        <is>
          <t>A+</t>
        </is>
      </c>
      <c r="D12" s="122" t="n">
        <v>202</v>
      </c>
      <c r="E12" s="123" t="n">
        <v>1.49</v>
      </c>
      <c r="F12" s="124">
        <f>E12*$B$4</f>
        <v/>
      </c>
      <c r="G12" s="125" t="n">
        <v>50</v>
      </c>
      <c r="H12" s="121" t="inlineStr">
        <is>
          <t>–</t>
        </is>
      </c>
      <c r="I12" s="121" t="inlineStr">
        <is>
          <t>R-290</t>
        </is>
      </c>
      <c r="J12" s="129" t="n">
        <v>1898</v>
      </c>
      <c r="K12" s="121" t="inlineStr">
        <is>
          <t>nein</t>
        </is>
      </c>
      <c r="L12" s="122" t="n">
        <v>1500</v>
      </c>
      <c r="M12" s="131" t="inlineStr">
        <is>
          <t>HD24 (ηwh_m × Faktor)</t>
        </is>
      </c>
      <c r="N12" s="131" t="inlineStr">
        <is>
          <t>emailliert</t>
        </is>
      </c>
      <c r="O12" s="131" t="inlineStr">
        <is>
          <t>Magnesiumanode (Trockenkontrolle)</t>
        </is>
      </c>
      <c r="P12" s="126">
        <f>IFERROR($B$5/F12,"–")</f>
        <v/>
      </c>
      <c r="Q12" s="127">
        <f>IFERROR($D$5*$B$5/F12,"–")</f>
        <v/>
      </c>
    </row>
    <row r="13" ht="20" customHeight="1">
      <c r="A13" s="130" t="inlineStr">
        <is>
          <t>KWB EmpaAir 220 KWB EmpaAir 220</t>
        </is>
      </c>
      <c r="B13" s="114" t="inlineStr">
        <is>
          <t>18.11.2027</t>
        </is>
      </c>
      <c r="C13" s="114" t="inlineStr">
        <is>
          <t>A+</t>
        </is>
      </c>
      <c r="D13" s="115" t="n">
        <v>220</v>
      </c>
      <c r="E13" s="116" t="n">
        <v>1.48</v>
      </c>
      <c r="F13" s="117">
        <f>E13*$B$4</f>
        <v/>
      </c>
      <c r="G13" s="118" t="n">
        <v>60</v>
      </c>
      <c r="H13" s="117" t="n">
        <v>0</v>
      </c>
      <c r="I13" s="114" t="inlineStr">
        <is>
          <t>R-134a</t>
        </is>
      </c>
      <c r="J13" s="114" t="inlineStr">
        <is>
          <t>–</t>
        </is>
      </c>
      <c r="K13" s="114" t="inlineStr">
        <is>
          <t>–</t>
        </is>
      </c>
      <c r="L13" s="114" t="inlineStr">
        <is>
          <t>–</t>
        </is>
      </c>
      <c r="M13" s="130" t="inlineStr">
        <is>
          <t>GET-DB (ηwh_m × Faktor)</t>
        </is>
      </c>
      <c r="N13" s="130" t="inlineStr">
        <is>
          <t>–</t>
        </is>
      </c>
      <c r="O13" s="130" t="inlineStr">
        <is>
          <t>–</t>
        </is>
      </c>
      <c r="P13" s="119">
        <f>IFERROR($B$5/F13,"–")</f>
        <v/>
      </c>
      <c r="Q13" s="120">
        <f>IFERROR($D$5*$B$5/F13,"–")</f>
        <v/>
      </c>
    </row>
    <row r="14" ht="20" customHeight="1">
      <c r="A14" s="131" t="inlineStr">
        <is>
          <t>Stiebel Eltron WWK 220 electronic</t>
        </is>
      </c>
      <c r="B14" s="121" t="inlineStr">
        <is>
          <t>18.11.2027</t>
        </is>
      </c>
      <c r="C14" s="121" t="inlineStr">
        <is>
          <t>A+</t>
        </is>
      </c>
      <c r="D14" s="122" t="n">
        <v>220</v>
      </c>
      <c r="E14" s="123" t="n">
        <v>1.48</v>
      </c>
      <c r="F14" s="124">
        <f>E14*$B$4</f>
        <v/>
      </c>
      <c r="G14" s="125" t="n">
        <v>60</v>
      </c>
      <c r="H14" s="124" t="n">
        <v>0</v>
      </c>
      <c r="I14" s="121" t="inlineStr">
        <is>
          <t>R-134a</t>
        </is>
      </c>
      <c r="J14" s="121" t="inlineStr">
        <is>
          <t>–</t>
        </is>
      </c>
      <c r="K14" s="121" t="inlineStr">
        <is>
          <t>–</t>
        </is>
      </c>
      <c r="L14" s="121" t="inlineStr">
        <is>
          <t>–</t>
        </is>
      </c>
      <c r="M14" s="131" t="inlineStr">
        <is>
          <t>GET-DB (ηwh_m × Faktor)</t>
        </is>
      </c>
      <c r="N14" s="131" t="inlineStr">
        <is>
          <t>emailliert (Spezialemaillierung)</t>
        </is>
      </c>
      <c r="O14" s="131" t="inlineStr">
        <is>
          <t>Fremdstromanode</t>
        </is>
      </c>
      <c r="P14" s="126">
        <f>IFERROR($B$5/F14,"–")</f>
        <v/>
      </c>
      <c r="Q14" s="127">
        <f>IFERROR($D$5*$B$5/F14,"–")</f>
        <v/>
      </c>
    </row>
    <row r="15" ht="20" customHeight="1">
      <c r="A15" s="130" t="inlineStr">
        <is>
          <t>Panasonic Aquarea P-DHW200CAE5</t>
        </is>
      </c>
      <c r="B15" s="114" t="inlineStr">
        <is>
          <t>–</t>
        </is>
      </c>
      <c r="C15" s="114" t="inlineStr">
        <is>
          <t>A+</t>
        </is>
      </c>
      <c r="D15" s="115" t="n">
        <v>194</v>
      </c>
      <c r="E15" s="116" t="n">
        <v>1.48</v>
      </c>
      <c r="F15" s="117">
        <f>E15*$B$4</f>
        <v/>
      </c>
      <c r="G15" s="118" t="n">
        <v>50</v>
      </c>
      <c r="H15" s="114" t="inlineStr">
        <is>
          <t>–</t>
        </is>
      </c>
      <c r="I15" s="114" t="inlineStr">
        <is>
          <t>R-290</t>
        </is>
      </c>
      <c r="J15" s="128" t="n">
        <v>1889</v>
      </c>
      <c r="K15" s="114" t="inlineStr">
        <is>
          <t>ja (C)</t>
        </is>
      </c>
      <c r="L15" s="115" t="n">
        <v>1500</v>
      </c>
      <c r="M15" s="130" t="inlineStr">
        <is>
          <t>HD24 (ηwh_m × Faktor)</t>
        </is>
      </c>
      <c r="N15" s="130" t="inlineStr">
        <is>
          <t>emailliert</t>
        </is>
      </c>
      <c r="O15" s="130" t="inlineStr">
        <is>
          <t>Magnesiumanode (Trockenkontrolle)</t>
        </is>
      </c>
      <c r="P15" s="119">
        <f>IFERROR($B$5/F15,"–")</f>
        <v/>
      </c>
      <c r="Q15" s="120">
        <f>IFERROR($D$5*$B$5/F15,"–")</f>
        <v/>
      </c>
    </row>
    <row r="16" ht="20" customHeight="1">
      <c r="A16" s="131" t="inlineStr">
        <is>
          <t>Styleboiler Futura Eco X 200</t>
        </is>
      </c>
      <c r="B16" s="121" t="inlineStr">
        <is>
          <t>–</t>
        </is>
      </c>
      <c r="C16" s="121" t="inlineStr">
        <is>
          <t>A+</t>
        </is>
      </c>
      <c r="D16" s="122" t="n">
        <v>207</v>
      </c>
      <c r="E16" s="123" t="inlineStr">
        <is>
          <t>–</t>
        </is>
      </c>
      <c r="F16" s="124" t="n">
        <v>3.69</v>
      </c>
      <c r="G16" s="125" t="n">
        <v>51</v>
      </c>
      <c r="H16" s="121" t="inlineStr">
        <is>
          <t>–</t>
        </is>
      </c>
      <c r="I16" s="121" t="inlineStr">
        <is>
          <t>R-290</t>
        </is>
      </c>
      <c r="J16" s="129" t="n">
        <v>1579</v>
      </c>
      <c r="K16" s="121" t="inlineStr">
        <is>
          <t>nein</t>
        </is>
      </c>
      <c r="L16" s="122" t="n">
        <v>1500</v>
      </c>
      <c r="M16" s="131" t="inlineStr">
        <is>
          <t>HD24 (COP Hersteller)</t>
        </is>
      </c>
      <c r="N16" s="131" t="inlineStr">
        <is>
          <t>–</t>
        </is>
      </c>
      <c r="O16" s="131" t="inlineStr">
        <is>
          <t>–</t>
        </is>
      </c>
      <c r="P16" s="126">
        <f>IFERROR($B$5/F16,"–")</f>
        <v/>
      </c>
      <c r="Q16" s="127">
        <f>IFERROR($D$5*$B$5/F16,"–")</f>
        <v/>
      </c>
    </row>
    <row r="17" ht="20" customHeight="1">
      <c r="A17" s="130" t="inlineStr">
        <is>
          <t>Styleboiler Futura Eco X 1 WT 200 W</t>
        </is>
      </c>
      <c r="B17" s="114" t="inlineStr">
        <is>
          <t>–</t>
        </is>
      </c>
      <c r="C17" s="114" t="inlineStr">
        <is>
          <t>A+</t>
        </is>
      </c>
      <c r="D17" s="115" t="n">
        <v>207</v>
      </c>
      <c r="E17" s="116" t="inlineStr">
        <is>
          <t>–</t>
        </is>
      </c>
      <c r="F17" s="117" t="n">
        <v>3.69</v>
      </c>
      <c r="G17" s="118" t="n">
        <v>51</v>
      </c>
      <c r="H17" s="114" t="inlineStr">
        <is>
          <t>–</t>
        </is>
      </c>
      <c r="I17" s="114" t="inlineStr">
        <is>
          <t>R-290</t>
        </is>
      </c>
      <c r="J17" s="128" t="n">
        <v>1659</v>
      </c>
      <c r="K17" s="114" t="inlineStr">
        <is>
          <t>ja (WT)</t>
        </is>
      </c>
      <c r="L17" s="115" t="n">
        <v>1500</v>
      </c>
      <c r="M17" s="130" t="inlineStr">
        <is>
          <t>HD24 (COP Hersteller)</t>
        </is>
      </c>
      <c r="N17" s="130" t="inlineStr">
        <is>
          <t>–</t>
        </is>
      </c>
      <c r="O17" s="130" t="inlineStr">
        <is>
          <t>–</t>
        </is>
      </c>
      <c r="P17" s="119">
        <f>IFERROR($B$5/F17,"–")</f>
        <v/>
      </c>
      <c r="Q17" s="120">
        <f>IFERROR($D$5*$B$5/F17,"–")</f>
        <v/>
      </c>
    </row>
    <row r="18" ht="20" customHeight="1">
      <c r="A18" s="131" t="inlineStr">
        <is>
          <t>Vaillant aroSTOR plus VWL B 200/6</t>
        </is>
      </c>
      <c r="B18" s="121" t="inlineStr">
        <is>
          <t>–</t>
        </is>
      </c>
      <c r="C18" s="121" t="inlineStr">
        <is>
          <t>A+</t>
        </is>
      </c>
      <c r="D18" s="122" t="n">
        <v>202</v>
      </c>
      <c r="E18" s="123" t="inlineStr">
        <is>
          <t>–</t>
        </is>
      </c>
      <c r="F18" s="124" t="n">
        <v>3.66</v>
      </c>
      <c r="G18" s="125" t="n">
        <v>54</v>
      </c>
      <c r="H18" s="121" t="inlineStr">
        <is>
          <t>–</t>
        </is>
      </c>
      <c r="I18" s="121" t="inlineStr">
        <is>
          <t>R-290</t>
        </is>
      </c>
      <c r="J18" s="129" t="n">
        <v>2298</v>
      </c>
      <c r="K18" s="121" t="inlineStr">
        <is>
          <t>nein</t>
        </is>
      </c>
      <c r="L18" s="122" t="n">
        <v>1500</v>
      </c>
      <c r="M18" s="131" t="inlineStr">
        <is>
          <t>HD24 (COP A14/W55)</t>
        </is>
      </c>
      <c r="N18" s="131" t="inlineStr">
        <is>
          <t>emaillierter Stahl</t>
        </is>
      </c>
      <c r="O18" s="131" t="inlineStr">
        <is>
          <t>Magnesium-Schutzanode (von außen messbar)</t>
        </is>
      </c>
      <c r="P18" s="126">
        <f>IFERROR($B$5/F18,"–")</f>
        <v/>
      </c>
      <c r="Q18" s="127">
        <f>IFERROR($D$5*$B$5/F18,"–")</f>
        <v/>
      </c>
    </row>
    <row r="19" ht="20" customHeight="1">
      <c r="A19" s="130" t="inlineStr">
        <is>
          <t>Remeha Azorra Ace 200 E</t>
        </is>
      </c>
      <c r="B19" s="114" t="inlineStr">
        <is>
          <t>–</t>
        </is>
      </c>
      <c r="C19" s="114" t="inlineStr">
        <is>
          <t>A+</t>
        </is>
      </c>
      <c r="D19" s="115" t="n">
        <v>196</v>
      </c>
      <c r="E19" s="116" t="inlineStr">
        <is>
          <t>–</t>
        </is>
      </c>
      <c r="F19" s="117" t="n">
        <v>3.64</v>
      </c>
      <c r="G19" s="118" t="n">
        <v>49</v>
      </c>
      <c r="H19" s="114" t="inlineStr">
        <is>
          <t>–</t>
        </is>
      </c>
      <c r="I19" s="114" t="inlineStr">
        <is>
          <t>R-290</t>
        </is>
      </c>
      <c r="J19" s="128" t="n">
        <v>2440.6</v>
      </c>
      <c r="K19" s="114" t="inlineStr">
        <is>
          <t>nein</t>
        </is>
      </c>
      <c r="L19" s="115" t="n">
        <v>1800</v>
      </c>
      <c r="M19" s="130" t="inlineStr">
        <is>
          <t>heizung-billiger.de (COP A20/W35; A15/W10: 3,25; A7: 3,09)</t>
        </is>
      </c>
      <c r="N19" s="130" t="inlineStr">
        <is>
          <t>emailliert (Keramikbeschichtung)</t>
        </is>
      </c>
      <c r="O19" s="130" t="inlineStr">
        <is>
          <t>Titan-Kathodenschutzanode</t>
        </is>
      </c>
      <c r="P19" s="119">
        <f>IFERROR($B$5/F19,"–")</f>
        <v/>
      </c>
      <c r="Q19" s="120">
        <f>IFERROR($D$5*$B$5/F19,"–")</f>
        <v/>
      </c>
    </row>
    <row r="20" ht="20" customHeight="1">
      <c r="A20" s="131" t="inlineStr">
        <is>
          <t>Brötje BTW 200 B</t>
        </is>
      </c>
      <c r="B20" s="121" t="inlineStr">
        <is>
          <t>–</t>
        </is>
      </c>
      <c r="C20" s="121" t="inlineStr">
        <is>
          <t>A+</t>
        </is>
      </c>
      <c r="D20" s="122" t="n">
        <v>196</v>
      </c>
      <c r="E20" s="123" t="inlineStr">
        <is>
          <t>–</t>
        </is>
      </c>
      <c r="F20" s="124" t="n">
        <v>3.63</v>
      </c>
      <c r="G20" s="125" t="n">
        <v>49</v>
      </c>
      <c r="H20" s="121" t="inlineStr">
        <is>
          <t>–</t>
        </is>
      </c>
      <c r="I20" s="121" t="inlineStr">
        <is>
          <t>R-290</t>
        </is>
      </c>
      <c r="J20" s="129" t="n">
        <v>2819.79</v>
      </c>
      <c r="K20" s="121" t="inlineStr">
        <is>
          <t>nein</t>
        </is>
      </c>
      <c r="L20" s="122" t="n">
        <v>1800</v>
      </c>
      <c r="M20" s="131" t="inlineStr">
        <is>
          <t>heat-store.de (COP A20/Raumluft; A7: 3,09)</t>
        </is>
      </c>
      <c r="N20" s="131" t="inlineStr">
        <is>
          <t>emailliert (Keramikbeschichtung)</t>
        </is>
      </c>
      <c r="O20" s="131" t="inlineStr">
        <is>
          <t>Titan-Kathodenschutzanode</t>
        </is>
      </c>
      <c r="P20" s="126">
        <f>IFERROR($B$5/F20,"–")</f>
        <v/>
      </c>
      <c r="Q20" s="127">
        <f>IFERROR($D$5*$B$5/F20,"–")</f>
        <v/>
      </c>
    </row>
    <row r="21" ht="20" customHeight="1">
      <c r="A21" s="130" t="inlineStr">
        <is>
          <t>Brötje BTW S 200 B</t>
        </is>
      </c>
      <c r="B21" s="114" t="inlineStr">
        <is>
          <t>–</t>
        </is>
      </c>
      <c r="C21" s="114" t="inlineStr">
        <is>
          <t>A+</t>
        </is>
      </c>
      <c r="D21" s="115" t="n">
        <v>188</v>
      </c>
      <c r="E21" s="116" t="inlineStr">
        <is>
          <t>–</t>
        </is>
      </c>
      <c r="F21" s="117" t="n">
        <v>3.63</v>
      </c>
      <c r="G21" s="118" t="n">
        <v>49</v>
      </c>
      <c r="H21" s="114" t="inlineStr">
        <is>
          <t>–</t>
        </is>
      </c>
      <c r="I21" s="114" t="inlineStr">
        <is>
          <t>R-290</t>
        </is>
      </c>
      <c r="J21" s="128" t="n">
        <v>2945.41</v>
      </c>
      <c r="K21" s="114" t="inlineStr">
        <is>
          <t>ja (S)</t>
        </is>
      </c>
      <c r="L21" s="115" t="n">
        <v>1800</v>
      </c>
      <c r="M21" s="130" t="inlineStr">
        <is>
          <t>heat-store.de (COP A20/Raumluft; A7: 3,09)</t>
        </is>
      </c>
      <c r="N21" s="130" t="inlineStr">
        <is>
          <t>emailliert (Keramikbeschichtung)</t>
        </is>
      </c>
      <c r="O21" s="130" t="inlineStr">
        <is>
          <t>Titan-Kathodenschutzanode</t>
        </is>
      </c>
      <c r="P21" s="119">
        <f>IFERROR($B$5/F21,"–")</f>
        <v/>
      </c>
      <c r="Q21" s="120">
        <f>IFERROR($D$5*$B$5/F21,"–")</f>
        <v/>
      </c>
    </row>
    <row r="22" ht="20" customHeight="1">
      <c r="A22" s="131" t="inlineStr">
        <is>
          <t>Tesy AquaThermica Pro HPWH 4.11 FS 200 U 02 (306209)</t>
        </is>
      </c>
      <c r="B22" s="121" t="inlineStr">
        <is>
          <t>–</t>
        </is>
      </c>
      <c r="C22" s="121" t="inlineStr">
        <is>
          <t>A+</t>
        </is>
      </c>
      <c r="D22" s="122" t="n">
        <v>202</v>
      </c>
      <c r="E22" s="123" t="inlineStr">
        <is>
          <t>–</t>
        </is>
      </c>
      <c r="F22" s="124" t="n">
        <v>3.6</v>
      </c>
      <c r="G22" s="121" t="inlineStr">
        <is>
          <t>–</t>
        </is>
      </c>
      <c r="H22" s="121" t="inlineStr">
        <is>
          <t>–</t>
        </is>
      </c>
      <c r="I22" s="121" t="inlineStr">
        <is>
          <t>R-290</t>
        </is>
      </c>
      <c r="J22" s="129" t="n">
        <v>1489</v>
      </c>
      <c r="K22" s="121" t="inlineStr">
        <is>
          <t>nein</t>
        </is>
      </c>
      <c r="L22" s="122" t="n">
        <v>1500</v>
      </c>
      <c r="M22" s="131" t="inlineStr">
        <is>
          <t>HD24 (CoP DHW)</t>
        </is>
      </c>
      <c r="N22" s="131" t="inlineStr">
        <is>
          <t>emailliert</t>
        </is>
      </c>
      <c r="O22" s="131" t="inlineStr">
        <is>
          <t>Magnesiumanode (Ø 33 × 400 mm)</t>
        </is>
      </c>
      <c r="P22" s="126">
        <f>IFERROR($B$5/F22,"–")</f>
        <v/>
      </c>
      <c r="Q22" s="127">
        <f>IFERROR($D$5*$B$5/F22,"–")</f>
        <v/>
      </c>
    </row>
    <row r="23" ht="20" customHeight="1">
      <c r="A23" s="130" t="inlineStr">
        <is>
          <t>Tesy AquaThermica Pro HPWH 4.11 FS 200 U 02 S (306268)</t>
        </is>
      </c>
      <c r="B23" s="114" t="inlineStr">
        <is>
          <t>–</t>
        </is>
      </c>
      <c r="C23" s="114" t="inlineStr">
        <is>
          <t>A+</t>
        </is>
      </c>
      <c r="D23" s="115" t="n">
        <v>194</v>
      </c>
      <c r="E23" s="116" t="inlineStr">
        <is>
          <t>–</t>
        </is>
      </c>
      <c r="F23" s="117" t="n">
        <v>3.6</v>
      </c>
      <c r="G23" s="114" t="inlineStr">
        <is>
          <t>–</t>
        </is>
      </c>
      <c r="H23" s="114" t="inlineStr">
        <is>
          <t>–</t>
        </is>
      </c>
      <c r="I23" s="114" t="inlineStr">
        <is>
          <t>R-290</t>
        </is>
      </c>
      <c r="J23" s="128" t="n">
        <v>1559</v>
      </c>
      <c r="K23" s="114" t="inlineStr">
        <is>
          <t>ja (S)</t>
        </is>
      </c>
      <c r="L23" s="115" t="n">
        <v>1500</v>
      </c>
      <c r="M23" s="130" t="inlineStr">
        <is>
          <t>HD24 (CoP DHW) · WT 1,05 m²</t>
        </is>
      </c>
      <c r="N23" s="130" t="inlineStr">
        <is>
          <t>emailliert</t>
        </is>
      </c>
      <c r="O23" s="130" t="inlineStr">
        <is>
          <t>Magnesiumanode (Ø 33 × 400 mm)</t>
        </is>
      </c>
      <c r="P23" s="119">
        <f>IFERROR($B$5/F23,"–")</f>
        <v/>
      </c>
      <c r="Q23" s="120">
        <f>IFERROR($D$5*$B$5/F23,"–")</f>
        <v/>
      </c>
    </row>
    <row r="24" ht="20" customHeight="1">
      <c r="A24" s="131" t="inlineStr">
        <is>
          <t>Haier HP200M7C-F9</t>
        </is>
      </c>
      <c r="B24" s="121" t="inlineStr">
        <is>
          <t>–</t>
        </is>
      </c>
      <c r="C24" s="121" t="inlineStr">
        <is>
          <t>A+</t>
        </is>
      </c>
      <c r="D24" s="122" t="n">
        <v>185</v>
      </c>
      <c r="E24" s="123" t="inlineStr">
        <is>
          <t>–</t>
        </is>
      </c>
      <c r="F24" s="124" t="n">
        <v>3.55</v>
      </c>
      <c r="G24" s="125" t="n">
        <v>50</v>
      </c>
      <c r="H24" s="121" t="inlineStr">
        <is>
          <t>–</t>
        </is>
      </c>
      <c r="I24" s="121" t="inlineStr">
        <is>
          <t>R-290</t>
        </is>
      </c>
      <c r="J24" s="129" t="n">
        <v>1439</v>
      </c>
      <c r="K24" s="121" t="inlineStr">
        <is>
          <t>ja (C)</t>
        </is>
      </c>
      <c r="L24" s="122" t="n">
        <v>1500</v>
      </c>
      <c r="M24" s="131" t="inlineStr">
        <is>
          <t>HD24/Haier-Datenblatt (COP 14 °C) – Klasse lt. Haier A+, HD24 nennt fälschlich A+++</t>
        </is>
      </c>
      <c r="N24" s="131" t="inlineStr">
        <is>
          <t>emailliert</t>
        </is>
      </c>
      <c r="O24" s="131" t="inlineStr">
        <is>
          <t>elektronische Anode</t>
        </is>
      </c>
      <c r="P24" s="126">
        <f>IFERROR($B$5/F24,"–")</f>
        <v/>
      </c>
      <c r="Q24" s="127">
        <f>IFERROR($D$5*$B$5/F24,"–")</f>
        <v/>
      </c>
    </row>
    <row r="25" ht="20" customHeight="1">
      <c r="A25" s="130" t="inlineStr">
        <is>
          <t>AEG WPT 220 EL</t>
        </is>
      </c>
      <c r="B25" s="114" t="inlineStr">
        <is>
          <t>–</t>
        </is>
      </c>
      <c r="C25" s="114" t="inlineStr">
        <is>
          <t>A+</t>
        </is>
      </c>
      <c r="D25" s="115" t="n">
        <v>220</v>
      </c>
      <c r="E25" s="116" t="inlineStr">
        <is>
          <t>–</t>
        </is>
      </c>
      <c r="F25" s="117" t="n">
        <v>3.55</v>
      </c>
      <c r="G25" s="118" t="n">
        <v>60</v>
      </c>
      <c r="H25" s="114" t="inlineStr">
        <is>
          <t>–</t>
        </is>
      </c>
      <c r="I25" s="114" t="inlineStr">
        <is>
          <t>–</t>
        </is>
      </c>
      <c r="J25" s="128" t="n">
        <v>1869</v>
      </c>
      <c r="K25" s="114" t="inlineStr">
        <is>
          <t>nein</t>
        </is>
      </c>
      <c r="L25" s="114" t="inlineStr">
        <is>
          <t>–</t>
        </is>
      </c>
      <c r="M25" s="130" t="inlineStr">
        <is>
          <t>HD24 (COP A20)</t>
        </is>
      </c>
      <c r="N25" s="130" t="inlineStr">
        <is>
          <t>–</t>
        </is>
      </c>
      <c r="O25" s="130" t="inlineStr">
        <is>
          <t>–</t>
        </is>
      </c>
      <c r="P25" s="119">
        <f>IFERROR($B$5/F25,"–")</f>
        <v/>
      </c>
      <c r="Q25" s="120">
        <f>IFERROR($D$5*$B$5/F25,"–")</f>
        <v/>
      </c>
    </row>
    <row r="26" ht="20" customHeight="1">
      <c r="A26" s="131" t="inlineStr">
        <is>
          <t>Haier HP200M7-F9</t>
        </is>
      </c>
      <c r="B26" s="121" t="inlineStr">
        <is>
          <t>–</t>
        </is>
      </c>
      <c r="C26" s="121" t="inlineStr">
        <is>
          <t>A+</t>
        </is>
      </c>
      <c r="D26" s="122" t="n">
        <v>194</v>
      </c>
      <c r="E26" s="123" t="inlineStr">
        <is>
          <t>–</t>
        </is>
      </c>
      <c r="F26" s="124" t="n">
        <v>3.5</v>
      </c>
      <c r="G26" s="125" t="n">
        <v>50</v>
      </c>
      <c r="H26" s="121" t="inlineStr">
        <is>
          <t>–</t>
        </is>
      </c>
      <c r="I26" s="121" t="inlineStr">
        <is>
          <t>R-290</t>
        </is>
      </c>
      <c r="J26" s="129" t="n">
        <v>1369</v>
      </c>
      <c r="K26" s="121" t="inlineStr">
        <is>
          <t>nein</t>
        </is>
      </c>
      <c r="L26" s="122" t="n">
        <v>1500</v>
      </c>
      <c r="M26" s="131" t="inlineStr">
        <is>
          <t>HD24/Haier-Datenblatt (COP 14 °C) – Klasse lt. Haier A+, HD24 nennt fälschlich A+++</t>
        </is>
      </c>
      <c r="N26" s="131" t="inlineStr">
        <is>
          <t>emailliert</t>
        </is>
      </c>
      <c r="O26" s="131" t="inlineStr">
        <is>
          <t>elektronische Anode</t>
        </is>
      </c>
      <c r="P26" s="126">
        <f>IFERROR($B$5/F26,"–")</f>
        <v/>
      </c>
      <c r="Q26" s="127">
        <f>IFERROR($D$5*$B$5/F26,"–")</f>
        <v/>
      </c>
    </row>
    <row r="27" ht="20" customHeight="1">
      <c r="A27" s="130" t="inlineStr">
        <is>
          <t>LG Therma V WH20S.F5</t>
        </is>
      </c>
      <c r="B27" s="114" t="inlineStr">
        <is>
          <t>–</t>
        </is>
      </c>
      <c r="C27" s="114" t="inlineStr">
        <is>
          <t>A+</t>
        </is>
      </c>
      <c r="D27" s="115" t="n">
        <v>200</v>
      </c>
      <c r="E27" s="116" t="inlineStr">
        <is>
          <t>–</t>
        </is>
      </c>
      <c r="F27" s="117" t="n">
        <v>3.5</v>
      </c>
      <c r="G27" s="118" t="n">
        <v>55</v>
      </c>
      <c r="H27" s="114" t="inlineStr">
        <is>
          <t>–</t>
        </is>
      </c>
      <c r="I27" s="114" t="inlineStr">
        <is>
          <t>R-134a</t>
        </is>
      </c>
      <c r="J27" s="128" t="n">
        <v>1698</v>
      </c>
      <c r="K27" s="114" t="inlineStr">
        <is>
          <t>nein</t>
        </is>
      </c>
      <c r="L27" s="115" t="n">
        <v>2000</v>
      </c>
      <c r="M27" s="130" t="inlineStr">
        <is>
          <t>HD24 (COP 15 °C)</t>
        </is>
      </c>
      <c r="N27" s="130" t="inlineStr">
        <is>
          <t>–</t>
        </is>
      </c>
      <c r="O27" s="130" t="inlineStr">
        <is>
          <t>–</t>
        </is>
      </c>
      <c r="P27" s="119">
        <f>IFERROR($B$5/F27,"–")</f>
        <v/>
      </c>
      <c r="Q27" s="120">
        <f>IFERROR($D$5*$B$5/F27,"–")</f>
        <v/>
      </c>
    </row>
    <row r="28" ht="20" customHeight="1">
      <c r="A28" s="131" t="inlineStr">
        <is>
          <t>LG Therma V WH20STR2.FA</t>
        </is>
      </c>
      <c r="B28" s="121" t="inlineStr">
        <is>
          <t>–</t>
        </is>
      </c>
      <c r="C28" s="121" t="inlineStr">
        <is>
          <t>A+</t>
        </is>
      </c>
      <c r="D28" s="122" t="n">
        <v>200</v>
      </c>
      <c r="E28" s="123" t="inlineStr">
        <is>
          <t>–</t>
        </is>
      </c>
      <c r="F28" s="124" t="n">
        <v>3.5</v>
      </c>
      <c r="G28" s="125" t="n">
        <v>55</v>
      </c>
      <c r="H28" s="121" t="inlineStr">
        <is>
          <t>–</t>
        </is>
      </c>
      <c r="I28" s="121" t="inlineStr">
        <is>
          <t>R-134a</t>
        </is>
      </c>
      <c r="J28" s="129" t="n">
        <v>1698</v>
      </c>
      <c r="K28" s="121" t="inlineStr">
        <is>
          <t>nein</t>
        </is>
      </c>
      <c r="L28" s="122" t="n">
        <v>2000</v>
      </c>
      <c r="M28" s="131" t="inlineStr">
        <is>
          <t>HD24 (COP A15/W35)</t>
        </is>
      </c>
      <c r="N28" s="131" t="inlineStr">
        <is>
          <t>–</t>
        </is>
      </c>
      <c r="O28" s="131" t="inlineStr">
        <is>
          <t>–</t>
        </is>
      </c>
      <c r="P28" s="126">
        <f>IFERROR($B$5/F28,"–")</f>
        <v/>
      </c>
      <c r="Q28" s="127">
        <f>IFERROR($D$5*$B$5/F28,"–")</f>
        <v/>
      </c>
    </row>
    <row r="29" ht="20" customHeight="1">
      <c r="A29" s="130" t="inlineStr">
        <is>
          <t>Daikin Altherma M HW 200 (EKHHE200CV37)</t>
        </is>
      </c>
      <c r="B29" s="114" t="inlineStr">
        <is>
          <t>–</t>
        </is>
      </c>
      <c r="C29" s="114" t="inlineStr">
        <is>
          <t>A+</t>
        </is>
      </c>
      <c r="D29" s="115" t="n">
        <v>192</v>
      </c>
      <c r="E29" s="116" t="n">
        <v>1.35</v>
      </c>
      <c r="F29" s="117">
        <f>E29*$B$4</f>
        <v/>
      </c>
      <c r="G29" s="118" t="n">
        <v>53</v>
      </c>
      <c r="H29" s="117" t="n">
        <v>63</v>
      </c>
      <c r="I29" s="114" t="inlineStr">
        <is>
          <t>R-134a</t>
        </is>
      </c>
      <c r="J29" s="128" t="n">
        <v>1749</v>
      </c>
      <c r="K29" s="114" t="inlineStr">
        <is>
          <t>nein</t>
        </is>
      </c>
      <c r="L29" s="115" t="n">
        <v>1500</v>
      </c>
      <c r="M29" s="130" t="inlineStr">
        <is>
          <t>HD24 (ηwh_m × Faktor)</t>
        </is>
      </c>
      <c r="N29" s="130" t="inlineStr">
        <is>
          <t>emaillierter Stahl</t>
        </is>
      </c>
      <c r="O29" s="130" t="inlineStr">
        <is>
          <t>–</t>
        </is>
      </c>
      <c r="P29" s="119">
        <f>IFERROR($B$5/F29,"–")</f>
        <v/>
      </c>
      <c r="Q29" s="120">
        <f>IFERROR($D$5*$B$5/F29,"–")</f>
        <v/>
      </c>
    </row>
    <row r="30" ht="20" customHeight="1">
      <c r="A30" s="131" t="inlineStr">
        <is>
          <t>Daikin Altherma M HW 200 Biv (EKHHE200PCV37)</t>
        </is>
      </c>
      <c r="B30" s="121" t="inlineStr">
        <is>
          <t>–</t>
        </is>
      </c>
      <c r="C30" s="121" t="inlineStr">
        <is>
          <t>A+</t>
        </is>
      </c>
      <c r="D30" s="122" t="n">
        <v>187</v>
      </c>
      <c r="E30" s="123" t="n">
        <v>1.35</v>
      </c>
      <c r="F30" s="124">
        <f>E30*$B$4</f>
        <v/>
      </c>
      <c r="G30" s="125" t="n">
        <v>53</v>
      </c>
      <c r="H30" s="124" t="n">
        <v>63</v>
      </c>
      <c r="I30" s="121" t="inlineStr">
        <is>
          <t>R-134a</t>
        </is>
      </c>
      <c r="J30" s="129" t="n">
        <v>1869</v>
      </c>
      <c r="K30" s="121" t="inlineStr">
        <is>
          <t>ja (Biv)</t>
        </is>
      </c>
      <c r="L30" s="122" t="n">
        <v>1500</v>
      </c>
      <c r="M30" s="131" t="inlineStr">
        <is>
          <t>HD24 (ηwh_m × Faktor) · WT 0,72 m²</t>
        </is>
      </c>
      <c r="N30" s="131" t="inlineStr">
        <is>
          <t>emaillierter Stahl</t>
        </is>
      </c>
      <c r="O30" s="131" t="inlineStr">
        <is>
          <t>–</t>
        </is>
      </c>
      <c r="P30" s="126">
        <f>IFERROR($B$5/F30,"–")</f>
        <v/>
      </c>
      <c r="Q30" s="127">
        <f>IFERROR($D$5*$B$5/F30,"–")</f>
        <v/>
      </c>
    </row>
    <row r="31" ht="20" customHeight="1">
      <c r="A31" s="130" t="inlineStr">
        <is>
          <t>Bösch MCB200</t>
        </is>
      </c>
      <c r="B31" s="114" t="inlineStr">
        <is>
          <t>19.02.2028</t>
        </is>
      </c>
      <c r="C31" s="114" t="inlineStr">
        <is>
          <t>A+</t>
        </is>
      </c>
      <c r="D31" s="115" t="n">
        <v>200</v>
      </c>
      <c r="E31" s="116" t="n">
        <v>1.32</v>
      </c>
      <c r="F31" s="117">
        <f>E31*$B$4</f>
        <v/>
      </c>
      <c r="G31" s="118" t="n">
        <v>51</v>
      </c>
      <c r="H31" s="117" t="n">
        <v>0</v>
      </c>
      <c r="I31" s="114" t="inlineStr">
        <is>
          <t>R-290</t>
        </is>
      </c>
      <c r="J31" s="114" t="inlineStr">
        <is>
          <t>–</t>
        </is>
      </c>
      <c r="K31" s="114" t="inlineStr">
        <is>
          <t>–</t>
        </is>
      </c>
      <c r="L31" s="114" t="inlineStr">
        <is>
          <t>–</t>
        </is>
      </c>
      <c r="M31" s="130" t="inlineStr">
        <is>
          <t>GET-DB (ηwh_m × Faktor)</t>
        </is>
      </c>
      <c r="N31" s="130" t="inlineStr">
        <is>
          <t>–</t>
        </is>
      </c>
      <c r="O31" s="130" t="inlineStr">
        <is>
          <t>–</t>
        </is>
      </c>
      <c r="P31" s="119">
        <f>IFERROR($B$5/F31,"–")</f>
        <v/>
      </c>
      <c r="Q31" s="120">
        <f>IFERROR($D$5*$B$5/F31,"–")</f>
        <v/>
      </c>
    </row>
    <row r="32" ht="20" customHeight="1">
      <c r="A32" s="131" t="inlineStr">
        <is>
          <t>Austria Email AG AE REVOLUTION EVO 3, 200L WT</t>
        </is>
      </c>
      <c r="B32" s="121" t="inlineStr">
        <is>
          <t>18.03.2029</t>
        </is>
      </c>
      <c r="C32" s="121" t="inlineStr">
        <is>
          <t>A+</t>
        </is>
      </c>
      <c r="D32" s="122" t="n">
        <v>190</v>
      </c>
      <c r="E32" s="123" t="n">
        <v>1.29</v>
      </c>
      <c r="F32" s="124">
        <f>E32*$B$4</f>
        <v/>
      </c>
      <c r="G32" s="125" t="n">
        <v>47</v>
      </c>
      <c r="H32" s="124" t="n">
        <v>0</v>
      </c>
      <c r="I32" s="121" t="inlineStr">
        <is>
          <t>R-290</t>
        </is>
      </c>
      <c r="J32" s="129" t="n">
        <v>1989</v>
      </c>
      <c r="K32" s="121" t="inlineStr">
        <is>
          <t>ja (WT)</t>
        </is>
      </c>
      <c r="L32" s="122" t="n">
        <v>1200</v>
      </c>
      <c r="M32" s="131" t="inlineStr">
        <is>
          <t>GET-DB + HD24 (Explorer Evo 3 200L WT) · WT 1,2 m²</t>
        </is>
      </c>
      <c r="N32" s="131" t="inlineStr">
        <is>
          <t>emailliert</t>
        </is>
      </c>
      <c r="O32" s="131" t="inlineStr">
        <is>
          <t>ACI-Hybrid (Titan/Mg)</t>
        </is>
      </c>
      <c r="P32" s="126">
        <f>IFERROR($B$5/F32,"–")</f>
        <v/>
      </c>
      <c r="Q32" s="127">
        <f>IFERROR($D$5*$B$5/F32,"–")</f>
        <v/>
      </c>
    </row>
    <row r="33" ht="20" customHeight="1">
      <c r="A33" s="130" t="inlineStr">
        <is>
          <t>LG Therma V WH20ESF0.CA</t>
        </is>
      </c>
      <c r="B33" s="114" t="inlineStr">
        <is>
          <t>–</t>
        </is>
      </c>
      <c r="C33" s="114" t="inlineStr">
        <is>
          <t>A+</t>
        </is>
      </c>
      <c r="D33" s="115" t="n">
        <v>200</v>
      </c>
      <c r="E33" s="116" t="inlineStr">
        <is>
          <t>–</t>
        </is>
      </c>
      <c r="F33" s="117" t="n">
        <v>3.2</v>
      </c>
      <c r="G33" s="118" t="n">
        <v>53</v>
      </c>
      <c r="H33" s="114" t="inlineStr">
        <is>
          <t>–</t>
        </is>
      </c>
      <c r="I33" s="114" t="inlineStr">
        <is>
          <t>R-290</t>
        </is>
      </c>
      <c r="J33" s="128" t="n">
        <v>1949</v>
      </c>
      <c r="K33" s="114" t="inlineStr">
        <is>
          <t>nein</t>
        </is>
      </c>
      <c r="L33" s="114" t="inlineStr">
        <is>
          <t>–</t>
        </is>
      </c>
      <c r="M33" s="130" t="inlineStr">
        <is>
          <t>HD24 (COP A15/W35)</t>
        </is>
      </c>
      <c r="N33" s="130" t="inlineStr">
        <is>
          <t>–</t>
        </is>
      </c>
      <c r="O33" s="130" t="inlineStr">
        <is>
          <t>–</t>
        </is>
      </c>
      <c r="P33" s="119">
        <f>IFERROR($B$5/F33,"–")</f>
        <v/>
      </c>
      <c r="Q33" s="120">
        <f>IFERROR($D$5*$B$5/F33,"–")</f>
        <v/>
      </c>
    </row>
    <row r="34" ht="20" customHeight="1">
      <c r="A34" s="131" t="inlineStr">
        <is>
          <t>Alarko FLR-HWH-190C</t>
        </is>
      </c>
      <c r="B34" s="121" t="inlineStr">
        <is>
          <t>–</t>
        </is>
      </c>
      <c r="C34" s="121" t="inlineStr">
        <is>
          <t>A</t>
        </is>
      </c>
      <c r="D34" s="122" t="n">
        <v>190</v>
      </c>
      <c r="E34" s="123" t="inlineStr">
        <is>
          <t>–</t>
        </is>
      </c>
      <c r="F34" s="124" t="n">
        <v>3.15</v>
      </c>
      <c r="G34" s="125" t="n">
        <v>56</v>
      </c>
      <c r="H34" s="121" t="inlineStr">
        <is>
          <t>–</t>
        </is>
      </c>
      <c r="I34" s="121" t="inlineStr">
        <is>
          <t>R-290</t>
        </is>
      </c>
      <c r="J34" s="129" t="n">
        <v>1279</v>
      </c>
      <c r="K34" s="121" t="inlineStr">
        <is>
          <t>nein</t>
        </is>
      </c>
      <c r="L34" s="122" t="n">
        <v>1640</v>
      </c>
      <c r="M34" s="131" t="inlineStr">
        <is>
          <t>HD24 (COP EN16147 15/12 °C)</t>
        </is>
      </c>
      <c r="N34" s="131" t="inlineStr">
        <is>
          <t>–</t>
        </is>
      </c>
      <c r="O34" s="131" t="inlineStr">
        <is>
          <t>–</t>
        </is>
      </c>
      <c r="P34" s="126">
        <f>IFERROR($B$5/F34,"–")</f>
        <v/>
      </c>
      <c r="Q34" s="127">
        <f>IFERROR($D$5*$B$5/F34,"–")</f>
        <v/>
      </c>
    </row>
    <row r="35" ht="20" customHeight="1">
      <c r="A35" s="130" t="inlineStr">
        <is>
          <t>Alarko FLR-HWH-190CSC</t>
        </is>
      </c>
      <c r="B35" s="114" t="inlineStr">
        <is>
          <t>–</t>
        </is>
      </c>
      <c r="C35" s="114" t="inlineStr">
        <is>
          <t>A</t>
        </is>
      </c>
      <c r="D35" s="115" t="n">
        <v>190</v>
      </c>
      <c r="E35" s="116" t="inlineStr">
        <is>
          <t>–</t>
        </is>
      </c>
      <c r="F35" s="117" t="n">
        <v>3.14</v>
      </c>
      <c r="G35" s="118" t="n">
        <v>51</v>
      </c>
      <c r="H35" s="114" t="inlineStr">
        <is>
          <t>–</t>
        </is>
      </c>
      <c r="I35" s="114" t="inlineStr">
        <is>
          <t>R-290</t>
        </is>
      </c>
      <c r="J35" s="128" t="n">
        <v>1389</v>
      </c>
      <c r="K35" s="114" t="inlineStr">
        <is>
          <t>ja (CSC)</t>
        </is>
      </c>
      <c r="L35" s="115" t="n">
        <v>1640</v>
      </c>
      <c r="M35" s="130" t="inlineStr">
        <is>
          <t>HD24 (COP EN16147 15/12 °C)</t>
        </is>
      </c>
      <c r="N35" s="130" t="inlineStr">
        <is>
          <t>–</t>
        </is>
      </c>
      <c r="O35" s="130" t="inlineStr">
        <is>
          <t>–</t>
        </is>
      </c>
      <c r="P35" s="119">
        <f>IFERROR($B$5/F35,"–")</f>
        <v/>
      </c>
      <c r="Q35" s="120">
        <f>IFERROR($D$5*$B$5/F35,"–")</f>
        <v/>
      </c>
    </row>
    <row r="36" ht="20" customHeight="1">
      <c r="A36" s="131" t="inlineStr">
        <is>
          <t>Vaillant fluoSTOR VWH B 200/1</t>
        </is>
      </c>
      <c r="B36" s="121" t="inlineStr">
        <is>
          <t>21.02.2027</t>
        </is>
      </c>
      <c r="C36" s="121" t="inlineStr">
        <is>
          <t>A+</t>
        </is>
      </c>
      <c r="D36" s="122" t="n">
        <v>200</v>
      </c>
      <c r="E36" s="123" t="n">
        <v>1.239</v>
      </c>
      <c r="F36" s="124">
        <f>E36*$B$4</f>
        <v/>
      </c>
      <c r="G36" s="125" t="n">
        <v>48</v>
      </c>
      <c r="H36" s="124" t="n">
        <v>0</v>
      </c>
      <c r="I36" s="121" t="inlineStr">
        <is>
          <t>R-290</t>
        </is>
      </c>
      <c r="J36" s="121" t="inlineStr">
        <is>
          <t>–</t>
        </is>
      </c>
      <c r="K36" s="121" t="inlineStr">
        <is>
          <t>–</t>
        </is>
      </c>
      <c r="L36" s="121" t="inlineStr">
        <is>
          <t>–</t>
        </is>
      </c>
      <c r="M36" s="131" t="inlineStr">
        <is>
          <t>GET-DB (ηwh_m × Faktor)</t>
        </is>
      </c>
      <c r="N36" s="131" t="inlineStr">
        <is>
          <t>emaillierter Stahl</t>
        </is>
      </c>
      <c r="O36" s="131" t="inlineStr">
        <is>
          <t>Magnesiumanode</t>
        </is>
      </c>
      <c r="P36" s="126">
        <f>IFERROR($B$5/F36,"–")</f>
        <v/>
      </c>
      <c r="Q36" s="127">
        <f>IFERROR($D$5*$B$5/F36,"–")</f>
        <v/>
      </c>
    </row>
    <row r="37" ht="20" customHeight="1">
      <c r="A37" s="130" t="inlineStr">
        <is>
          <t>Vaillant aroSTOR plus VWL BM 200/6</t>
        </is>
      </c>
      <c r="B37" s="114" t="inlineStr">
        <is>
          <t>–</t>
        </is>
      </c>
      <c r="C37" s="114" t="inlineStr">
        <is>
          <t>A+</t>
        </is>
      </c>
      <c r="D37" s="115" t="n">
        <v>194</v>
      </c>
      <c r="E37" s="116" t="inlineStr">
        <is>
          <t>–</t>
        </is>
      </c>
      <c r="F37" s="117" t="n">
        <v>3.09</v>
      </c>
      <c r="G37" s="118" t="n">
        <v>54</v>
      </c>
      <c r="H37" s="114" t="inlineStr">
        <is>
          <t>–</t>
        </is>
      </c>
      <c r="I37" s="114" t="inlineStr">
        <is>
          <t>R-290</t>
        </is>
      </c>
      <c r="J37" s="128" t="n">
        <v>2498</v>
      </c>
      <c r="K37" s="114" t="inlineStr">
        <is>
          <t>ja (BM)</t>
        </is>
      </c>
      <c r="L37" s="115" t="n">
        <v>1500</v>
      </c>
      <c r="M37" s="130" t="inlineStr">
        <is>
          <t>HD24 (COP A7/W55) · WT 1,05 m²</t>
        </is>
      </c>
      <c r="N37" s="130" t="inlineStr">
        <is>
          <t>emaillierter Stahl</t>
        </is>
      </c>
      <c r="O37" s="130" t="inlineStr">
        <is>
          <t>Magnesium-Schutzanode (von außen messbar)</t>
        </is>
      </c>
      <c r="P37" s="119">
        <f>IFERROR($B$5/F37,"–")</f>
        <v/>
      </c>
      <c r="Q37" s="120">
        <f>IFERROR($D$5*$B$5/F37,"–")</f>
        <v/>
      </c>
    </row>
    <row r="38" ht="20" customHeight="1">
      <c r="A38" s="131" t="inlineStr">
        <is>
          <t>Hofman Energy Avarma 190, 200 L</t>
        </is>
      </c>
      <c r="B38" s="121" t="inlineStr">
        <is>
          <t>–</t>
        </is>
      </c>
      <c r="C38" s="121" t="inlineStr">
        <is>
          <t>A+</t>
        </is>
      </c>
      <c r="D38" s="122" t="n">
        <v>200</v>
      </c>
      <c r="E38" s="123" t="inlineStr">
        <is>
          <t>–</t>
        </is>
      </c>
      <c r="F38" s="124" t="n">
        <v>3.04</v>
      </c>
      <c r="G38" s="121" t="inlineStr">
        <is>
          <t>–</t>
        </is>
      </c>
      <c r="H38" s="121" t="inlineStr">
        <is>
          <t>–</t>
        </is>
      </c>
      <c r="I38" s="121" t="inlineStr">
        <is>
          <t>R-290</t>
        </is>
      </c>
      <c r="J38" s="129" t="n">
        <v>1499.99</v>
      </c>
      <c r="K38" s="121" t="inlineStr">
        <is>
          <t>ja (Register 2)</t>
        </is>
      </c>
      <c r="L38" s="122" t="n">
        <v>1500</v>
      </c>
      <c r="M38" s="131" t="inlineStr">
        <is>
          <t>hofman-energy.com (COP DHW)</t>
        </is>
      </c>
      <c r="N38" s="131" t="inlineStr">
        <is>
          <t>Edelstahl (Duplex 2205)</t>
        </is>
      </c>
      <c r="O38" s="131" t="inlineStr">
        <is>
          <t>elektronische Anode</t>
        </is>
      </c>
      <c r="P38" s="126">
        <f>IFERROR($B$5/F38,"–")</f>
        <v/>
      </c>
      <c r="Q38" s="127">
        <f>IFERROR($D$5*$B$5/F38,"–")</f>
        <v/>
      </c>
    </row>
    <row r="39" ht="20" customHeight="1">
      <c r="A39" s="130" t="inlineStr">
        <is>
          <t>Hisense Hi-Water AH-200U4GAB00</t>
        </is>
      </c>
      <c r="B39" s="114" t="inlineStr">
        <is>
          <t>–</t>
        </is>
      </c>
      <c r="C39" s="114" t="inlineStr">
        <is>
          <t>A+</t>
        </is>
      </c>
      <c r="D39" s="115" t="n">
        <v>200</v>
      </c>
      <c r="E39" s="116" t="n">
        <v>1.21</v>
      </c>
      <c r="F39" s="117">
        <f>E39*$B$4</f>
        <v/>
      </c>
      <c r="G39" s="118" t="n">
        <v>53</v>
      </c>
      <c r="H39" s="114" t="inlineStr">
        <is>
          <t>–</t>
        </is>
      </c>
      <c r="I39" s="114" t="inlineStr">
        <is>
          <t>R-290</t>
        </is>
      </c>
      <c r="J39" s="114" t="inlineStr">
        <is>
          <t>–</t>
        </is>
      </c>
      <c r="K39" s="114" t="inlineStr">
        <is>
          <t>nein</t>
        </is>
      </c>
      <c r="L39" s="115" t="n">
        <v>2000</v>
      </c>
      <c r="M39" s="130" t="inlineStr">
        <is>
          <t>Hisense ES (ηwh_m × Faktor, Lastprofil L)</t>
        </is>
      </c>
      <c r="N39" s="130" t="inlineStr">
        <is>
          <t>–</t>
        </is>
      </c>
      <c r="O39" s="130" t="inlineStr">
        <is>
          <t>–</t>
        </is>
      </c>
      <c r="P39" s="119">
        <f>IFERROR($B$5/F39,"–")</f>
        <v/>
      </c>
      <c r="Q39" s="120">
        <f>IFERROR($D$5*$B$5/F39,"–")</f>
        <v/>
      </c>
    </row>
    <row r="40" ht="20" customHeight="1">
      <c r="A40" s="131" t="inlineStr">
        <is>
          <t>Viessmann Vitocal 060-A T0E-ze 180 l</t>
        </is>
      </c>
      <c r="B40" s="121" t="inlineStr">
        <is>
          <t>21.02.2024</t>
        </is>
      </c>
      <c r="C40" s="121" t="inlineStr">
        <is>
          <t>A+</t>
        </is>
      </c>
      <c r="D40" s="122" t="n">
        <v>180</v>
      </c>
      <c r="E40" s="123" t="n">
        <v>1.2</v>
      </c>
      <c r="F40" s="124">
        <f>E40*$B$4</f>
        <v/>
      </c>
      <c r="G40" s="125" t="n">
        <v>58</v>
      </c>
      <c r="H40" s="124" t="n">
        <v>0.52</v>
      </c>
      <c r="I40" s="121" t="inlineStr">
        <is>
          <t>R-1234ze</t>
        </is>
      </c>
      <c r="J40" s="121" t="inlineStr">
        <is>
          <t>–</t>
        </is>
      </c>
      <c r="K40" s="121" t="inlineStr">
        <is>
          <t>–</t>
        </is>
      </c>
      <c r="L40" s="121" t="inlineStr">
        <is>
          <t>–</t>
        </is>
      </c>
      <c r="M40" s="131" t="inlineStr">
        <is>
          <t>GET-DB (ηwh_m × Faktor)</t>
        </is>
      </c>
      <c r="N40" s="131" t="inlineStr">
        <is>
          <t>emailliert (Ceraprotect)</t>
        </is>
      </c>
      <c r="O40" s="131" t="inlineStr">
        <is>
          <t>–</t>
        </is>
      </c>
      <c r="P40" s="126">
        <f>IFERROR($B$5/F40,"–")</f>
        <v/>
      </c>
      <c r="Q40" s="127">
        <f>IFERROR($D$5*$B$5/F40,"–")</f>
        <v/>
      </c>
    </row>
    <row r="41" ht="20" customHeight="1">
      <c r="A41" s="130" t="inlineStr">
        <is>
          <t>Junkers Bosch Compress 5000 DW CS5001DW 200</t>
        </is>
      </c>
      <c r="B41" s="114" t="inlineStr">
        <is>
          <t>–</t>
        </is>
      </c>
      <c r="C41" s="114" t="inlineStr">
        <is>
          <t>A+</t>
        </is>
      </c>
      <c r="D41" s="115" t="n">
        <v>202</v>
      </c>
      <c r="E41" s="116" t="n">
        <v>1.2</v>
      </c>
      <c r="F41" s="117">
        <f>E41*$B$4</f>
        <v/>
      </c>
      <c r="G41" s="118" t="n">
        <v>56</v>
      </c>
      <c r="H41" s="114" t="inlineStr">
        <is>
          <t>–</t>
        </is>
      </c>
      <c r="I41" s="114" t="inlineStr">
        <is>
          <t>R-513A</t>
        </is>
      </c>
      <c r="J41" s="128" t="n">
        <v>2449</v>
      </c>
      <c r="K41" s="114" t="inlineStr">
        <is>
          <t>nein</t>
        </is>
      </c>
      <c r="L41" s="115" t="n">
        <v>1500</v>
      </c>
      <c r="M41" s="130" t="inlineStr">
        <is>
          <t>HD24 (ηwh_m × Faktor)</t>
        </is>
      </c>
      <c r="N41" s="130" t="inlineStr">
        <is>
          <t>emailliert</t>
        </is>
      </c>
      <c r="O41" s="130" t="inlineStr">
        <is>
          <t>Magnesiumanode</t>
        </is>
      </c>
      <c r="P41" s="119">
        <f>IFERROR($B$5/F41,"–")</f>
        <v/>
      </c>
      <c r="Q41" s="120">
        <f>IFERROR($D$5*$B$5/F41,"–")</f>
        <v/>
      </c>
    </row>
    <row r="42" ht="20" customHeight="1">
      <c r="A42" s="131" t="inlineStr">
        <is>
          <t>Junkers Bosch Compress 5000 DW CS5001DW 200 C</t>
        </is>
      </c>
      <c r="B42" s="121" t="inlineStr">
        <is>
          <t>–</t>
        </is>
      </c>
      <c r="C42" s="121" t="inlineStr">
        <is>
          <t>A+</t>
        </is>
      </c>
      <c r="D42" s="122" t="n">
        <v>194</v>
      </c>
      <c r="E42" s="123" t="n">
        <v>1.2</v>
      </c>
      <c r="F42" s="124">
        <f>E42*$B$4</f>
        <v/>
      </c>
      <c r="G42" s="125" t="n">
        <v>56</v>
      </c>
      <c r="H42" s="121" t="inlineStr">
        <is>
          <t>–</t>
        </is>
      </c>
      <c r="I42" s="121" t="inlineStr">
        <is>
          <t>R-513A</t>
        </is>
      </c>
      <c r="J42" s="129" t="n">
        <v>2655</v>
      </c>
      <c r="K42" s="121" t="inlineStr">
        <is>
          <t>ja (C)</t>
        </is>
      </c>
      <c r="L42" s="122" t="n">
        <v>1500</v>
      </c>
      <c r="M42" s="131" t="inlineStr">
        <is>
          <t>HD24 (ηwh_m × Faktor)</t>
        </is>
      </c>
      <c r="N42" s="131" t="inlineStr">
        <is>
          <t>emailliert</t>
        </is>
      </c>
      <c r="O42" s="131" t="inlineStr">
        <is>
          <t>Magnesiumanode</t>
        </is>
      </c>
      <c r="P42" s="126">
        <f>IFERROR($B$5/F42,"–")</f>
        <v/>
      </c>
      <c r="Q42" s="127">
        <f>IFERROR($D$5*$B$5/F42,"–")</f>
        <v/>
      </c>
    </row>
    <row r="43" ht="20" customHeight="1">
      <c r="A43" s="130" t="inlineStr">
        <is>
          <t>Buderus WPT200.4 A Logatherm</t>
        </is>
      </c>
      <c r="B43" s="114" t="inlineStr">
        <is>
          <t>–</t>
        </is>
      </c>
      <c r="C43" s="114" t="inlineStr">
        <is>
          <t>A+</t>
        </is>
      </c>
      <c r="D43" s="115" t="n">
        <v>202</v>
      </c>
      <c r="E43" s="116" t="n">
        <v>1.2</v>
      </c>
      <c r="F43" s="117">
        <f>E43*$B$4</f>
        <v/>
      </c>
      <c r="G43" s="118" t="n">
        <v>56</v>
      </c>
      <c r="H43" s="114" t="inlineStr">
        <is>
          <t>–</t>
        </is>
      </c>
      <c r="I43" s="114" t="inlineStr">
        <is>
          <t>R-513A</t>
        </is>
      </c>
      <c r="J43" s="128" t="n">
        <v>1805</v>
      </c>
      <c r="K43" s="114" t="inlineStr">
        <is>
          <t>nein</t>
        </is>
      </c>
      <c r="L43" s="115" t="n">
        <v>1500</v>
      </c>
      <c r="M43" s="130" t="inlineStr">
        <is>
          <t>HD24 (ηwh_m × Faktor)</t>
        </is>
      </c>
      <c r="N43" s="130" t="inlineStr">
        <is>
          <t>emailliert</t>
        </is>
      </c>
      <c r="O43" s="130" t="inlineStr">
        <is>
          <t>Magnesiumanode</t>
        </is>
      </c>
      <c r="P43" s="119">
        <f>IFERROR($B$5/F43,"–")</f>
        <v/>
      </c>
      <c r="Q43" s="120">
        <f>IFERROR($D$5*$B$5/F43,"–")</f>
        <v/>
      </c>
    </row>
    <row r="44" ht="20" customHeight="1">
      <c r="A44" s="131" t="inlineStr">
        <is>
          <t>Buderus WPT200.4 AS Logatherm</t>
        </is>
      </c>
      <c r="B44" s="121" t="inlineStr">
        <is>
          <t>–</t>
        </is>
      </c>
      <c r="C44" s="121" t="inlineStr">
        <is>
          <t>A+</t>
        </is>
      </c>
      <c r="D44" s="122" t="n">
        <v>194</v>
      </c>
      <c r="E44" s="123" t="n">
        <v>1.2</v>
      </c>
      <c r="F44" s="124">
        <f>E44*$B$4</f>
        <v/>
      </c>
      <c r="G44" s="125" t="n">
        <v>56</v>
      </c>
      <c r="H44" s="121" t="inlineStr">
        <is>
          <t>–</t>
        </is>
      </c>
      <c r="I44" s="121" t="inlineStr">
        <is>
          <t>R-513A</t>
        </is>
      </c>
      <c r="J44" s="129" t="n">
        <v>1919</v>
      </c>
      <c r="K44" s="121" t="inlineStr">
        <is>
          <t>ja (AS)</t>
        </is>
      </c>
      <c r="L44" s="122" t="n">
        <v>1500</v>
      </c>
      <c r="M44" s="131" t="inlineStr">
        <is>
          <t>HD24 (ηwh_m × Faktor) · WT 1,0 m²</t>
        </is>
      </c>
      <c r="N44" s="131" t="inlineStr">
        <is>
          <t>emailliert</t>
        </is>
      </c>
      <c r="O44" s="131" t="inlineStr">
        <is>
          <t>Magnesiumanode</t>
        </is>
      </c>
      <c r="P44" s="126">
        <f>IFERROR($B$5/F44,"–")</f>
        <v/>
      </c>
      <c r="Q44" s="127">
        <f>IFERROR($D$5*$B$5/F44,"–")</f>
        <v/>
      </c>
    </row>
    <row r="45" ht="20" customHeight="1">
      <c r="A45" s="130" t="n"/>
      <c r="B45" s="114" t="n"/>
      <c r="C45" s="114" t="n"/>
      <c r="D45" s="115" t="n"/>
      <c r="E45" s="116" t="n"/>
      <c r="F45" s="117" t="n"/>
      <c r="G45" s="118" t="n"/>
      <c r="H45" s="114" t="n"/>
      <c r="I45" s="114" t="n"/>
      <c r="J45" s="128" t="n"/>
      <c r="K45" s="114" t="n"/>
      <c r="L45" s="115" t="n"/>
      <c r="M45" s="130" t="n"/>
      <c r="N45" s="130" t="n"/>
      <c r="O45" s="130" t="n"/>
      <c r="P45" s="119" t="n"/>
      <c r="Q45" s="120" t="n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autoFilter ref="A6:Q44"/>
  <mergeCells count="3">
    <mergeCell ref="A3:I3"/>
    <mergeCell ref="A2:I2"/>
    <mergeCell ref="C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2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hidden="1" width="16" customWidth="1" min="2" max="2"/>
    <col width="15" customWidth="1" min="3" max="3"/>
    <col width="14" customWidth="1" min="4" max="4"/>
    <col width="10" customWidth="1" min="5" max="5"/>
    <col width="9" customWidth="1" min="6" max="6"/>
    <col width="17" customWidth="1" min="7" max="7"/>
    <col width="18" customWidth="1" min="8" max="8"/>
    <col width="13" customWidth="1" min="9" max="9"/>
    <col width="14" customWidth="1" min="10" max="10"/>
    <col width="24" customWidth="1" min="11" max="11"/>
    <col width="13" customWidth="1" min="12" max="12"/>
    <col width="30" customWidth="1" min="13" max="13"/>
    <col width="34" customWidth="1" min="14" max="14"/>
    <col width="34" customWidth="1" min="15" max="15"/>
    <col width="20" customWidth="1" min="16" max="16"/>
    <col width="21" customWidth="1" min="17" max="17"/>
  </cols>
  <sheetData>
    <row r="1" ht="20" customHeight="1"/>
    <row r="2" ht="20" customHeight="1">
      <c r="A2" s="1" t="inlineStr">
        <is>
          <t>Brauchwasserwärmepumpen 300-Liter-Klasse – ηwh_m und SCOP</t>
        </is>
      </c>
    </row>
    <row r="3" ht="20" customHeight="1">
      <c r="A3" s="2" t="inlineStr">
        <is>
          <t>Bodenstehende Geräte mit 270–330 L Speicherinhalt; Auszug aus dem Reiter „Übersicht", Stand 23.09.2026</t>
        </is>
      </c>
    </row>
    <row r="4" ht="20" customHeight="1">
      <c r="A4" s="97" t="inlineStr">
        <is>
          <t>SCOP-Faktor</t>
        </is>
      </c>
      <c r="B4" s="97" t="n">
        <v>2.5</v>
      </c>
      <c r="C4" s="7" t="inlineStr">
        <is>
          <t>SCOP = ηwh_m (Dezimalwert) × Faktor. Liegt kein ηwh_m vor, steht der vom Hersteller angegebene SCOP/COP direkt in der Spalte – die Messbasis steht in Spalte "Quelle". Sortiert nach SCOP absteigend. Preise inkl. MwSt.</t>
        </is>
      </c>
    </row>
    <row r="5" ht="20" customHeight="1">
      <c r="A5" s="97" t="inlineStr">
        <is>
          <t>Strompreis (€/kWh)</t>
        </is>
      </c>
      <c r="B5" s="98" t="n">
        <v>0.3</v>
      </c>
      <c r="C5" s="97" t="inlineStr">
        <is>
          <t>Warmwasser-Bedarf (kWh/a)</t>
        </is>
      </c>
      <c r="D5" s="99" t="n">
        <v>2000</v>
      </c>
      <c r="E5" s="100" t="inlineStr">
        <is>
          <t>Wärmekosten = Strompreis ÷ SCOP · Jahreskosten = Bedarf × Strompreis ÷ SCOP</t>
        </is>
      </c>
    </row>
    <row r="6">
      <c r="A6" s="113" t="inlineStr">
        <is>
          <t>Markenname</t>
        </is>
      </c>
      <c r="B6" s="111" t="inlineStr">
        <is>
          <t>EHPA Gütesiegel</t>
        </is>
      </c>
      <c r="C6" s="111" t="inlineStr">
        <is>
          <t>EEff_Klasse_WWB</t>
        </is>
      </c>
      <c r="D6" s="111" t="inlineStr">
        <is>
          <t>V_Speicher (L)</t>
        </is>
      </c>
      <c r="E6" s="111" t="inlineStr">
        <is>
          <t>ηwh_m</t>
        </is>
      </c>
      <c r="F6" s="111" t="inlineStr">
        <is>
          <t>SCOP</t>
        </is>
      </c>
      <c r="G6" s="111" t="inlineStr">
        <is>
          <t>L_WA, Innen dB(A)</t>
        </is>
      </c>
      <c r="H6" s="111" t="inlineStr">
        <is>
          <t>Ssv_65°C (kWh/Tag)</t>
        </is>
      </c>
      <c r="I6" s="111" t="inlineStr">
        <is>
          <t>Kältemittel</t>
        </is>
      </c>
      <c r="J6" s="111" t="inlineStr">
        <is>
          <t>Preis (€)</t>
        </is>
      </c>
      <c r="K6" s="111" t="inlineStr">
        <is>
          <t>Wärmetauscher</t>
        </is>
      </c>
      <c r="L6" s="111" t="inlineStr">
        <is>
          <t>Heizstab (W)</t>
        </is>
      </c>
      <c r="M6" s="113" t="inlineStr">
        <is>
          <t>Quelle / SCOP-Basis</t>
        </is>
      </c>
      <c r="N6" s="113" t="inlineStr">
        <is>
          <t>Kesselmaterial</t>
        </is>
      </c>
      <c r="O6" s="113" t="inlineStr">
        <is>
          <t>Anodenart</t>
        </is>
      </c>
      <c r="P6" s="111" t="inlineStr">
        <is>
          <t>Wärmekosten (€/kWh)</t>
        </is>
      </c>
      <c r="Q6" s="111" t="inlineStr">
        <is>
          <t>Jahreskosten WW (€/a)</t>
        </is>
      </c>
    </row>
    <row r="7" ht="20" customHeight="1">
      <c r="A7" s="130" t="inlineStr">
        <is>
          <t>OCHSNER EUROPA N 300 R CA</t>
        </is>
      </c>
      <c r="B7" s="114" t="inlineStr">
        <is>
          <t>02.04.2028</t>
        </is>
      </c>
      <c r="C7" s="114" t="inlineStr">
        <is>
          <t>A++</t>
        </is>
      </c>
      <c r="D7" s="115" t="n">
        <v>294</v>
      </c>
      <c r="E7" s="116" t="n">
        <v>1.773</v>
      </c>
      <c r="F7" s="117">
        <f>E7*$B$4</f>
        <v/>
      </c>
      <c r="G7" s="118" t="n">
        <v>59</v>
      </c>
      <c r="H7" s="117" t="n">
        <v>0</v>
      </c>
      <c r="I7" s="114" t="inlineStr">
        <is>
          <t>R-290</t>
        </is>
      </c>
      <c r="J7" s="114" t="inlineStr">
        <is>
          <t>–</t>
        </is>
      </c>
      <c r="K7" s="114" t="inlineStr">
        <is>
          <t>ja (R)</t>
        </is>
      </c>
      <c r="L7" s="115" t="n">
        <v>1500</v>
      </c>
      <c r="M7" s="130" t="inlineStr">
        <is>
          <t>GET-DB + OCHSNER-Datenblatt (ηwh_m × Faktor; COP lt. Hersteller 4,34 bei A20) · WT 0,9 m²</t>
        </is>
      </c>
      <c r="N7" s="130" t="inlineStr">
        <is>
          <t>–</t>
        </is>
      </c>
      <c r="O7" s="130" t="inlineStr">
        <is>
          <t>–</t>
        </is>
      </c>
      <c r="P7" s="119">
        <f>IFERROR($B$5/F7,"–")</f>
        <v/>
      </c>
      <c r="Q7" s="120">
        <f>IFERROR($D$5*$B$5/F7,"–")</f>
        <v/>
      </c>
    </row>
    <row r="8" ht="20" customHeight="1">
      <c r="A8" s="131" t="inlineStr">
        <is>
          <t>Stiebel Eltron WWK-I 300 W Plus</t>
        </is>
      </c>
      <c r="B8" s="121" t="inlineStr">
        <is>
          <t>23.01.2028</t>
        </is>
      </c>
      <c r="C8" s="121" t="inlineStr">
        <is>
          <t>A++</t>
        </is>
      </c>
      <c r="D8" s="122" t="n">
        <v>294</v>
      </c>
      <c r="E8" s="123" t="n">
        <v>1.773</v>
      </c>
      <c r="F8" s="124">
        <f>E8*$B$4</f>
        <v/>
      </c>
      <c r="G8" s="125" t="n">
        <v>59</v>
      </c>
      <c r="H8" s="124" t="n">
        <v>0</v>
      </c>
      <c r="I8" s="121" t="inlineStr">
        <is>
          <t>R-290</t>
        </is>
      </c>
      <c r="J8" s="121" t="inlineStr">
        <is>
          <t>–</t>
        </is>
      </c>
      <c r="K8" s="121" t="inlineStr">
        <is>
          <t>–</t>
        </is>
      </c>
      <c r="L8" s="121" t="inlineStr">
        <is>
          <t>–</t>
        </is>
      </c>
      <c r="M8" s="131" t="inlineStr">
        <is>
          <t>GET-DB (ηwh_m × Faktor)</t>
        </is>
      </c>
      <c r="N8" s="131" t="inlineStr">
        <is>
          <t>emailliert</t>
        </is>
      </c>
      <c r="O8" s="131" t="inlineStr">
        <is>
          <t>–</t>
        </is>
      </c>
      <c r="P8" s="126">
        <f>IFERROR($B$5/F8,"–")</f>
        <v/>
      </c>
      <c r="Q8" s="127">
        <f>IFERROR($D$5*$B$5/F8,"–")</f>
        <v/>
      </c>
    </row>
    <row r="9" ht="20" customHeight="1">
      <c r="A9" s="130" t="inlineStr">
        <is>
          <t>Kronoterm ESSENTA-303</t>
        </is>
      </c>
      <c r="B9" s="114" t="inlineStr">
        <is>
          <t>–</t>
        </is>
      </c>
      <c r="C9" s="114" t="inlineStr">
        <is>
          <t>A++</t>
        </is>
      </c>
      <c r="D9" s="115" t="n">
        <v>300</v>
      </c>
      <c r="E9" s="116" t="n">
        <v>1.72</v>
      </c>
      <c r="F9" s="117">
        <f>E9*$B$4</f>
        <v/>
      </c>
      <c r="G9" s="118" t="n">
        <v>55</v>
      </c>
      <c r="H9" s="114" t="inlineStr">
        <is>
          <t>–</t>
        </is>
      </c>
      <c r="I9" s="114" t="inlineStr">
        <is>
          <t>R-290</t>
        </is>
      </c>
      <c r="J9" s="114" t="inlineStr">
        <is>
          <t>–</t>
        </is>
      </c>
      <c r="K9" s="114" t="inlineStr">
        <is>
          <t>–</t>
        </is>
      </c>
      <c r="L9" s="114" t="inlineStr">
        <is>
          <t>–</t>
        </is>
      </c>
      <c r="M9" s="130" t="inlineStr">
        <is>
          <t>Kronoterm ErP-Datenblatt (ηwh_m × Faktor, A20 Raumluft, XL; A14: 163 %, A7: 149 %)</t>
        </is>
      </c>
      <c r="N9" s="130" t="inlineStr">
        <is>
          <t>–</t>
        </is>
      </c>
      <c r="O9" s="130" t="inlineStr">
        <is>
          <t>–</t>
        </is>
      </c>
      <c r="P9" s="119">
        <f>IFERROR($B$5/F9,"–")</f>
        <v/>
      </c>
      <c r="Q9" s="120">
        <f>IFERROR($D$5*$B$5/F9,"–")</f>
        <v/>
      </c>
    </row>
    <row r="10" ht="20" customHeight="1">
      <c r="A10" s="131" t="inlineStr">
        <is>
          <t>OCHSNER EUROPA N 300 CA</t>
        </is>
      </c>
      <c r="B10" s="121" t="inlineStr">
        <is>
          <t>02.04.2028</t>
        </is>
      </c>
      <c r="C10" s="121" t="inlineStr">
        <is>
          <t>A++</t>
        </is>
      </c>
      <c r="D10" s="122" t="n">
        <v>300</v>
      </c>
      <c r="E10" s="123" t="n">
        <v>1.718</v>
      </c>
      <c r="F10" s="124">
        <f>E10*$B$4</f>
        <v/>
      </c>
      <c r="G10" s="125" t="n">
        <v>59</v>
      </c>
      <c r="H10" s="124" t="n">
        <v>0</v>
      </c>
      <c r="I10" s="121" t="inlineStr">
        <is>
          <t>R-290</t>
        </is>
      </c>
      <c r="J10" s="121" t="inlineStr">
        <is>
          <t>–</t>
        </is>
      </c>
      <c r="K10" s="121" t="inlineStr">
        <is>
          <t>nein</t>
        </is>
      </c>
      <c r="L10" s="122" t="n">
        <v>1500</v>
      </c>
      <c r="M10" s="131" t="inlineStr">
        <is>
          <t>GET-DB (ηwh_m × Faktor); Datenblatt nennt abweichend 294 L / 177,3 %</t>
        </is>
      </c>
      <c r="N10" s="131" t="inlineStr">
        <is>
          <t>–</t>
        </is>
      </c>
      <c r="O10" s="131" t="inlineStr">
        <is>
          <t>–</t>
        </is>
      </c>
      <c r="P10" s="126">
        <f>IFERROR($B$5/F10,"–")</f>
        <v/>
      </c>
      <c r="Q10" s="127">
        <f>IFERROR($D$5*$B$5/F10,"–")</f>
        <v/>
      </c>
    </row>
    <row r="11" ht="20" customHeight="1">
      <c r="A11" s="130" t="inlineStr">
        <is>
          <t>Stiebel Eltron WWK-I 300 Plus</t>
        </is>
      </c>
      <c r="B11" s="114" t="inlineStr">
        <is>
          <t>23.01.2028</t>
        </is>
      </c>
      <c r="C11" s="114" t="inlineStr">
        <is>
          <t>A++</t>
        </is>
      </c>
      <c r="D11" s="115" t="n">
        <v>300</v>
      </c>
      <c r="E11" s="116" t="n">
        <v>1.718</v>
      </c>
      <c r="F11" s="117">
        <f>E11*$B$4</f>
        <v/>
      </c>
      <c r="G11" s="118" t="n">
        <v>59</v>
      </c>
      <c r="H11" s="117" t="n">
        <v>0</v>
      </c>
      <c r="I11" s="114" t="inlineStr">
        <is>
          <t>R-290</t>
        </is>
      </c>
      <c r="J11" s="114" t="inlineStr">
        <is>
          <t>–</t>
        </is>
      </c>
      <c r="K11" s="114" t="inlineStr">
        <is>
          <t>–</t>
        </is>
      </c>
      <c r="L11" s="114" t="inlineStr">
        <is>
          <t>–</t>
        </is>
      </c>
      <c r="M11" s="130" t="inlineStr">
        <is>
          <t>GET-DB (ηwh_m × Faktor)</t>
        </is>
      </c>
      <c r="N11" s="130" t="inlineStr">
        <is>
          <t>emailliert</t>
        </is>
      </c>
      <c r="O11" s="130" t="inlineStr">
        <is>
          <t>–</t>
        </is>
      </c>
      <c r="P11" s="119">
        <f>IFERROR($B$5/F11,"–")</f>
        <v/>
      </c>
      <c r="Q11" s="120">
        <f>IFERROR($D$5*$B$5/F11,"–")</f>
        <v/>
      </c>
    </row>
    <row r="12" ht="20" customHeight="1">
      <c r="A12" s="131" t="inlineStr">
        <is>
          <t>Viessmann Vitocal 262-A T2E R-290</t>
        </is>
      </c>
      <c r="B12" s="121" t="inlineStr">
        <is>
          <t>08.04.2027</t>
        </is>
      </c>
      <c r="C12" s="121" t="inlineStr">
        <is>
          <t>A++</t>
        </is>
      </c>
      <c r="D12" s="122" t="n">
        <v>300</v>
      </c>
      <c r="E12" s="123" t="n">
        <v>1.65</v>
      </c>
      <c r="F12" s="124">
        <f>E12*$B$4</f>
        <v/>
      </c>
      <c r="G12" s="125" t="n">
        <v>55</v>
      </c>
      <c r="H12" s="124" t="n">
        <v>0.7</v>
      </c>
      <c r="I12" s="121" t="inlineStr">
        <is>
          <t>R-290</t>
        </is>
      </c>
      <c r="J12" s="121" t="inlineStr">
        <is>
          <t>–</t>
        </is>
      </c>
      <c r="K12" s="121" t="inlineStr">
        <is>
          <t>–</t>
        </is>
      </c>
      <c r="L12" s="121" t="inlineStr">
        <is>
          <t>–</t>
        </is>
      </c>
      <c r="M12" s="131" t="inlineStr">
        <is>
          <t>GET-DB (ηwh_m × Faktor)</t>
        </is>
      </c>
      <c r="N12" s="131" t="inlineStr">
        <is>
          <t>emailliert (Ceraprotect)</t>
        </is>
      </c>
      <c r="O12" s="131" t="inlineStr">
        <is>
          <t>Magnesiumanode (elektr. überwacht)</t>
        </is>
      </c>
      <c r="P12" s="126">
        <f>IFERROR($B$5/F12,"–")</f>
        <v/>
      </c>
      <c r="Q12" s="127">
        <f>IFERROR($D$5*$B$5/F12,"–")</f>
        <v/>
      </c>
    </row>
    <row r="13" ht="20" customHeight="1">
      <c r="A13" s="130" t="inlineStr">
        <is>
          <t>Viessmann Vitocal 262-A T2E-ze 300l</t>
        </is>
      </c>
      <c r="B13" s="114" t="inlineStr">
        <is>
          <t>21.02.2024</t>
        </is>
      </c>
      <c r="C13" s="114" t="inlineStr">
        <is>
          <t>A++</t>
        </is>
      </c>
      <c r="D13" s="115" t="n">
        <v>300</v>
      </c>
      <c r="E13" s="116" t="n">
        <v>1.65</v>
      </c>
      <c r="F13" s="117">
        <f>E13*$B$4</f>
        <v/>
      </c>
      <c r="G13" s="118" t="n">
        <v>53</v>
      </c>
      <c r="H13" s="117" t="n">
        <v>0.7</v>
      </c>
      <c r="I13" s="114" t="inlineStr">
        <is>
          <t>---</t>
        </is>
      </c>
      <c r="J13" s="114" t="inlineStr">
        <is>
          <t>–</t>
        </is>
      </c>
      <c r="K13" s="114" t="inlineStr">
        <is>
          <t>–</t>
        </is>
      </c>
      <c r="L13" s="114" t="inlineStr">
        <is>
          <t>–</t>
        </is>
      </c>
      <c r="M13" s="130" t="inlineStr">
        <is>
          <t>GET-DB (ηwh_m × Faktor)</t>
        </is>
      </c>
      <c r="N13" s="130" t="inlineStr">
        <is>
          <t>emailliert (Ceraprotect)</t>
        </is>
      </c>
      <c r="O13" s="130" t="inlineStr">
        <is>
          <t>Magnesiumanode (elektr. überwacht)</t>
        </is>
      </c>
      <c r="P13" s="119">
        <f>IFERROR($B$5/F13,"–")</f>
        <v/>
      </c>
      <c r="Q13" s="120">
        <f>IFERROR($D$5*$B$5/F13,"–")</f>
        <v/>
      </c>
    </row>
    <row r="14" ht="20" customHeight="1">
      <c r="A14" s="131" t="inlineStr">
        <is>
          <t>Viessmann Vitocal 262-A T2H-ze 300l</t>
        </is>
      </c>
      <c r="B14" s="121" t="inlineStr">
        <is>
          <t>21.02.2024</t>
        </is>
      </c>
      <c r="C14" s="121" t="inlineStr">
        <is>
          <t>A++</t>
        </is>
      </c>
      <c r="D14" s="122" t="n">
        <v>300</v>
      </c>
      <c r="E14" s="123" t="n">
        <v>1.65</v>
      </c>
      <c r="F14" s="124">
        <f>E14*$B$4</f>
        <v/>
      </c>
      <c r="G14" s="125" t="n">
        <v>53</v>
      </c>
      <c r="H14" s="124" t="n">
        <v>0.7</v>
      </c>
      <c r="I14" s="121" t="inlineStr">
        <is>
          <t>---</t>
        </is>
      </c>
      <c r="J14" s="121" t="inlineStr">
        <is>
          <t>–</t>
        </is>
      </c>
      <c r="K14" s="121" t="inlineStr">
        <is>
          <t>–</t>
        </is>
      </c>
      <c r="L14" s="121" t="inlineStr">
        <is>
          <t>–</t>
        </is>
      </c>
      <c r="M14" s="131" t="inlineStr">
        <is>
          <t>GET-DB (ηwh_m × Faktor)</t>
        </is>
      </c>
      <c r="N14" s="131" t="inlineStr">
        <is>
          <t>emailliert (Ceraprotect)</t>
        </is>
      </c>
      <c r="O14" s="131" t="inlineStr">
        <is>
          <t>Magnesiumanode (elektr. überwacht)</t>
        </is>
      </c>
      <c r="P14" s="126">
        <f>IFERROR($B$5/F14,"–")</f>
        <v/>
      </c>
      <c r="Q14" s="127">
        <f>IFERROR($D$5*$B$5/F14,"–")</f>
        <v/>
      </c>
    </row>
    <row r="15" ht="20" customHeight="1">
      <c r="A15" s="130" t="inlineStr">
        <is>
          <t>Austria Email Explorer Evo 3 270L</t>
        </is>
      </c>
      <c r="B15" s="114" t="inlineStr">
        <is>
          <t>–</t>
        </is>
      </c>
      <c r="C15" s="114" t="inlineStr">
        <is>
          <t>A++</t>
        </is>
      </c>
      <c r="D15" s="115" t="n">
        <v>270</v>
      </c>
      <c r="E15" s="116" t="n">
        <v>1.64</v>
      </c>
      <c r="F15" s="117">
        <f>E15*$B$4</f>
        <v/>
      </c>
      <c r="G15" s="118" t="n">
        <v>47</v>
      </c>
      <c r="H15" s="114" t="inlineStr">
        <is>
          <t>–</t>
        </is>
      </c>
      <c r="I15" s="114" t="inlineStr">
        <is>
          <t>R-290</t>
        </is>
      </c>
      <c r="J15" s="128" t="n">
        <v>2098</v>
      </c>
      <c r="K15" s="114" t="inlineStr">
        <is>
          <t>nein</t>
        </is>
      </c>
      <c r="L15" s="115" t="n">
        <v>1200</v>
      </c>
      <c r="M15" s="130" t="inlineStr">
        <is>
          <t>HD24 (ηwh_m × Faktor) – Klasse aus ηwh 164 % bei Lastprofil XL (Shop nannte A+)</t>
        </is>
      </c>
      <c r="N15" s="130" t="inlineStr">
        <is>
          <t>emailliert</t>
        </is>
      </c>
      <c r="O15" s="130" t="inlineStr">
        <is>
          <t>ACI-Hybrid (Titan/Mg)</t>
        </is>
      </c>
      <c r="P15" s="119">
        <f>IFERROR($B$5/F15,"–")</f>
        <v/>
      </c>
      <c r="Q15" s="120">
        <f>IFERROR($D$5*$B$5/F15,"–")</f>
        <v/>
      </c>
    </row>
    <row r="16" ht="20" customHeight="1">
      <c r="A16" s="131" t="inlineStr">
        <is>
          <t>Austria Email Explorer Evo 3 270L WT</t>
        </is>
      </c>
      <c r="B16" s="121" t="inlineStr">
        <is>
          <t>–</t>
        </is>
      </c>
      <c r="C16" s="121" t="inlineStr">
        <is>
          <t>A++</t>
        </is>
      </c>
      <c r="D16" s="122" t="n">
        <v>270</v>
      </c>
      <c r="E16" s="123" t="n">
        <v>1.62</v>
      </c>
      <c r="F16" s="124">
        <f>E16*$B$4</f>
        <v/>
      </c>
      <c r="G16" s="125" t="n">
        <v>47</v>
      </c>
      <c r="H16" s="121" t="inlineStr">
        <is>
          <t>–</t>
        </is>
      </c>
      <c r="I16" s="121" t="inlineStr">
        <is>
          <t>R-290</t>
        </is>
      </c>
      <c r="J16" s="129" t="n">
        <v>2119</v>
      </c>
      <c r="K16" s="121" t="inlineStr">
        <is>
          <t>ja (WT)</t>
        </is>
      </c>
      <c r="L16" s="122" t="n">
        <v>1200</v>
      </c>
      <c r="M16" s="131" t="inlineStr">
        <is>
          <t>HD24 (ηwh_m × Faktor) – Klasse aus ηwh 162 % bei Lastprofil XL (Shop nannte A) · WT 1,2 m²</t>
        </is>
      </c>
      <c r="N16" s="131" t="inlineStr">
        <is>
          <t>emailliert</t>
        </is>
      </c>
      <c r="O16" s="131" t="inlineStr">
        <is>
          <t>ACI-Hybrid (Titan/Mg)</t>
        </is>
      </c>
      <c r="P16" s="126">
        <f>IFERROR($B$5/F16,"–")</f>
        <v/>
      </c>
      <c r="Q16" s="127">
        <f>IFERROR($D$5*$B$5/F16,"–")</f>
        <v/>
      </c>
    </row>
    <row r="17" ht="20" customHeight="1">
      <c r="A17" s="130" t="inlineStr">
        <is>
          <t>Remko RBW 302 Pro-PV</t>
        </is>
      </c>
      <c r="B17" s="114" t="inlineStr">
        <is>
          <t>–</t>
        </is>
      </c>
      <c r="C17" s="114" t="inlineStr">
        <is>
          <t>A+</t>
        </is>
      </c>
      <c r="D17" s="115" t="n">
        <v>287</v>
      </c>
      <c r="E17" s="116" t="inlineStr">
        <is>
          <t>–</t>
        </is>
      </c>
      <c r="F17" s="117" t="n">
        <v>3.91</v>
      </c>
      <c r="G17" s="118" t="n">
        <v>53.8</v>
      </c>
      <c r="H17" s="114" t="inlineStr">
        <is>
          <t>–</t>
        </is>
      </c>
      <c r="I17" s="114" t="inlineStr">
        <is>
          <t>R-290</t>
        </is>
      </c>
      <c r="J17" s="128" t="n">
        <v>2549</v>
      </c>
      <c r="K17" s="114" t="inlineStr">
        <is>
          <t>nein</t>
        </is>
      </c>
      <c r="L17" s="115" t="n">
        <v>1500</v>
      </c>
      <c r="M17" s="130" t="inlineStr">
        <is>
          <t>badexo.de (COP A14/W53)</t>
        </is>
      </c>
      <c r="N17" s="130" t="inlineStr">
        <is>
          <t>emailliert</t>
        </is>
      </c>
      <c r="O17" s="130" t="inlineStr">
        <is>
          <t>–</t>
        </is>
      </c>
      <c r="P17" s="119">
        <f>IFERROR($B$5/F17,"–")</f>
        <v/>
      </c>
      <c r="Q17" s="120">
        <f>IFERROR($D$5*$B$5/F17,"–")</f>
        <v/>
      </c>
    </row>
    <row r="18" ht="20" customHeight="1">
      <c r="A18" s="131" t="inlineStr">
        <is>
          <t>Remko RBW 302 Pro-PV-S</t>
        </is>
      </c>
      <c r="B18" s="121" t="inlineStr">
        <is>
          <t>–</t>
        </is>
      </c>
      <c r="C18" s="121" t="inlineStr">
        <is>
          <t>A+</t>
        </is>
      </c>
      <c r="D18" s="122" t="n">
        <v>280</v>
      </c>
      <c r="E18" s="123" t="inlineStr">
        <is>
          <t>–</t>
        </is>
      </c>
      <c r="F18" s="124" t="n">
        <v>3.91</v>
      </c>
      <c r="G18" s="125" t="n">
        <v>53.8</v>
      </c>
      <c r="H18" s="121" t="inlineStr">
        <is>
          <t>–</t>
        </is>
      </c>
      <c r="I18" s="121" t="inlineStr">
        <is>
          <t>R-290</t>
        </is>
      </c>
      <c r="J18" s="129" t="n">
        <v>2658</v>
      </c>
      <c r="K18" s="121" t="inlineStr">
        <is>
          <t>ja (S)</t>
        </is>
      </c>
      <c r="L18" s="122" t="n">
        <v>1500</v>
      </c>
      <c r="M18" s="131" t="inlineStr">
        <is>
          <t>badexo.de (COP A14/W53) · WT 1,5 m²</t>
        </is>
      </c>
      <c r="N18" s="131" t="inlineStr">
        <is>
          <t>emailliert</t>
        </is>
      </c>
      <c r="O18" s="131" t="inlineStr">
        <is>
          <t>–</t>
        </is>
      </c>
      <c r="P18" s="126">
        <f>IFERROR($B$5/F18,"–")</f>
        <v/>
      </c>
      <c r="Q18" s="127">
        <f>IFERROR($D$5*$B$5/F18,"–")</f>
        <v/>
      </c>
    </row>
    <row r="19" ht="20" customHeight="1">
      <c r="A19" s="130" t="inlineStr">
        <is>
          <t>Austria Email AG WPA 303 ECO 2</t>
        </is>
      </c>
      <c r="B19" s="114" t="inlineStr">
        <is>
          <t>14.07.2027</t>
        </is>
      </c>
      <c r="C19" s="114" t="inlineStr">
        <is>
          <t>A+</t>
        </is>
      </c>
      <c r="D19" s="115" t="n">
        <v>300</v>
      </c>
      <c r="E19" s="116" t="n">
        <v>1.56</v>
      </c>
      <c r="F19" s="117">
        <f>E19*$B$4</f>
        <v/>
      </c>
      <c r="G19" s="118" t="n">
        <v>57</v>
      </c>
      <c r="H19" s="117" t="n">
        <v>0</v>
      </c>
      <c r="I19" s="114" t="inlineStr">
        <is>
          <t>R-134a</t>
        </is>
      </c>
      <c r="J19" s="114" t="inlineStr">
        <is>
          <t>–</t>
        </is>
      </c>
      <c r="K19" s="114" t="inlineStr">
        <is>
          <t>–</t>
        </is>
      </c>
      <c r="L19" s="114" t="inlineStr">
        <is>
          <t>–</t>
        </is>
      </c>
      <c r="M19" s="130" t="inlineStr">
        <is>
          <t>GET-DB (ηwh_m × Faktor)</t>
        </is>
      </c>
      <c r="N19" s="130" t="inlineStr">
        <is>
          <t>emailliert</t>
        </is>
      </c>
      <c r="O19" s="130" t="inlineStr">
        <is>
          <t>–</t>
        </is>
      </c>
      <c r="P19" s="119">
        <f>IFERROR($B$5/F19,"–")</f>
        <v/>
      </c>
      <c r="Q19" s="120">
        <f>IFERROR($D$5*$B$5/F19,"–")</f>
        <v/>
      </c>
    </row>
    <row r="20" ht="20" customHeight="1">
      <c r="A20" s="131" t="inlineStr">
        <is>
          <t>LG Therma V WH27STR2.FA</t>
        </is>
      </c>
      <c r="B20" s="121" t="inlineStr">
        <is>
          <t>–</t>
        </is>
      </c>
      <c r="C20" s="121" t="inlineStr">
        <is>
          <t>A+</t>
        </is>
      </c>
      <c r="D20" s="122" t="n">
        <v>270</v>
      </c>
      <c r="E20" s="123" t="inlineStr">
        <is>
          <t>–</t>
        </is>
      </c>
      <c r="F20" s="124" t="n">
        <v>3.9</v>
      </c>
      <c r="G20" s="125" t="n">
        <v>55</v>
      </c>
      <c r="H20" s="121" t="inlineStr">
        <is>
          <t>–</t>
        </is>
      </c>
      <c r="I20" s="121" t="inlineStr">
        <is>
          <t>R-134a</t>
        </is>
      </c>
      <c r="J20" s="129" t="n">
        <v>1998</v>
      </c>
      <c r="K20" s="121" t="inlineStr">
        <is>
          <t>nein</t>
        </is>
      </c>
      <c r="L20" s="122" t="n">
        <v>2000</v>
      </c>
      <c r="M20" s="131" t="inlineStr">
        <is>
          <t>HD24 (COP A15/W35)</t>
        </is>
      </c>
      <c r="N20" s="131" t="inlineStr">
        <is>
          <t>–</t>
        </is>
      </c>
      <c r="O20" s="131" t="inlineStr">
        <is>
          <t>–</t>
        </is>
      </c>
      <c r="P20" s="126">
        <f>IFERROR($B$5/F20,"–")</f>
        <v/>
      </c>
      <c r="Q20" s="127">
        <f>IFERROR($D$5*$B$5/F20,"–")</f>
        <v/>
      </c>
    </row>
    <row r="21" ht="20" customHeight="1">
      <c r="A21" s="130" t="inlineStr">
        <is>
          <t>OCHSNER Europa 333 Genius</t>
        </is>
      </c>
      <c r="B21" s="114" t="inlineStr">
        <is>
          <t>18.12.2026</t>
        </is>
      </c>
      <c r="C21" s="114" t="inlineStr">
        <is>
          <t>A+</t>
        </is>
      </c>
      <c r="D21" s="115" t="n">
        <v>300</v>
      </c>
      <c r="E21" s="116" t="n">
        <v>1.55</v>
      </c>
      <c r="F21" s="117">
        <f>E21*$B$4</f>
        <v/>
      </c>
      <c r="G21" s="118" t="n">
        <v>57</v>
      </c>
      <c r="H21" s="117" t="n">
        <v>2.14</v>
      </c>
      <c r="I21" s="114" t="inlineStr">
        <is>
          <t>R-134a</t>
        </is>
      </c>
      <c r="J21" s="114" t="inlineStr">
        <is>
          <t>–</t>
        </is>
      </c>
      <c r="K21" s="114" t="inlineStr">
        <is>
          <t>–</t>
        </is>
      </c>
      <c r="L21" s="114" t="inlineStr">
        <is>
          <t>–</t>
        </is>
      </c>
      <c r="M21" s="130" t="inlineStr">
        <is>
          <t>GET-DB (ηwh_m × Faktor)</t>
        </is>
      </c>
      <c r="N21" s="130" t="inlineStr">
        <is>
          <t>–</t>
        </is>
      </c>
      <c r="O21" s="130" t="inlineStr">
        <is>
          <t>–</t>
        </is>
      </c>
      <c r="P21" s="119">
        <f>IFERROR($B$5/F21,"–")</f>
        <v/>
      </c>
      <c r="Q21" s="120">
        <f>IFERROR($D$5*$B$5/F21,"–")</f>
        <v/>
      </c>
    </row>
    <row r="22" ht="20" customHeight="1">
      <c r="A22" s="131" t="inlineStr">
        <is>
          <t>LG Therma V WH27S.F5</t>
        </is>
      </c>
      <c r="B22" s="121" t="inlineStr">
        <is>
          <t>–</t>
        </is>
      </c>
      <c r="C22" s="121" t="inlineStr">
        <is>
          <t>A+</t>
        </is>
      </c>
      <c r="D22" s="122" t="n">
        <v>270</v>
      </c>
      <c r="E22" s="123" t="inlineStr">
        <is>
          <t>–</t>
        </is>
      </c>
      <c r="F22" s="124" t="n">
        <v>3.85</v>
      </c>
      <c r="G22" s="125" t="n">
        <v>55</v>
      </c>
      <c r="H22" s="121" t="inlineStr">
        <is>
          <t>–</t>
        </is>
      </c>
      <c r="I22" s="121" t="inlineStr">
        <is>
          <t>R-134a</t>
        </is>
      </c>
      <c r="J22" s="129" t="n">
        <v>1998</v>
      </c>
      <c r="K22" s="121" t="inlineStr">
        <is>
          <t>nein</t>
        </is>
      </c>
      <c r="L22" s="122" t="n">
        <v>2000</v>
      </c>
      <c r="M22" s="131" t="inlineStr">
        <is>
          <t>HD24 (COP 15 °C)</t>
        </is>
      </c>
      <c r="N22" s="131" t="inlineStr">
        <is>
          <t>–</t>
        </is>
      </c>
      <c r="O22" s="131" t="inlineStr">
        <is>
          <t>–</t>
        </is>
      </c>
      <c r="P22" s="126">
        <f>IFERROR($B$5/F22,"–")</f>
        <v/>
      </c>
      <c r="Q22" s="127">
        <f>IFERROR($D$5*$B$5/F22,"–")</f>
        <v/>
      </c>
    </row>
    <row r="23" ht="20" customHeight="1">
      <c r="A23" s="130" t="inlineStr">
        <is>
          <t>Wolf FHS-280-S</t>
        </is>
      </c>
      <c r="B23" s="114" t="inlineStr">
        <is>
          <t>–</t>
        </is>
      </c>
      <c r="C23" s="114" t="inlineStr">
        <is>
          <t>A+</t>
        </is>
      </c>
      <c r="D23" s="115" t="n">
        <v>270</v>
      </c>
      <c r="E23" s="116" t="inlineStr">
        <is>
          <t>–</t>
        </is>
      </c>
      <c r="F23" s="117" t="n">
        <v>3.67</v>
      </c>
      <c r="G23" s="118" t="n">
        <v>58</v>
      </c>
      <c r="H23" s="114" t="inlineStr">
        <is>
          <t>–</t>
        </is>
      </c>
      <c r="I23" s="114" t="inlineStr">
        <is>
          <t>R-290</t>
        </is>
      </c>
      <c r="J23" s="128" t="n">
        <v>2555</v>
      </c>
      <c r="K23" s="114" t="inlineStr">
        <is>
          <t>nein</t>
        </is>
      </c>
      <c r="L23" s="115" t="n">
        <v>2000</v>
      </c>
      <c r="M23" s="130" t="inlineStr">
        <is>
          <t>HD24 (COP L20/W10-55) – Kältemittel lt. HD24 R290, Vorgängerserie R134a</t>
        </is>
      </c>
      <c r="N23" s="130" t="inlineStr">
        <is>
          <t>emaillierter Stahl</t>
        </is>
      </c>
      <c r="O23" s="130" t="inlineStr">
        <is>
          <t>Magnesiumanode</t>
        </is>
      </c>
      <c r="P23" s="119">
        <f>IFERROR($B$5/F23,"–")</f>
        <v/>
      </c>
      <c r="Q23" s="120">
        <f>IFERROR($D$5*$B$5/F23,"–")</f>
        <v/>
      </c>
    </row>
    <row r="24" ht="20" customHeight="1">
      <c r="A24" s="131" t="inlineStr">
        <is>
          <t>Weishaupt WWP T 300 WA</t>
        </is>
      </c>
      <c r="B24" s="121" t="inlineStr">
        <is>
          <t>–</t>
        </is>
      </c>
      <c r="C24" s="121" t="inlineStr">
        <is>
          <t>A+</t>
        </is>
      </c>
      <c r="D24" s="122" t="n">
        <v>290</v>
      </c>
      <c r="E24" s="123" t="inlineStr">
        <is>
          <t>–</t>
        </is>
      </c>
      <c r="F24" s="124" t="n">
        <v>3.6</v>
      </c>
      <c r="G24" s="125" t="n">
        <v>60</v>
      </c>
      <c r="H24" s="121" t="inlineStr">
        <is>
          <t>–</t>
        </is>
      </c>
      <c r="I24" s="121" t="inlineStr">
        <is>
          <t>R-134a</t>
        </is>
      </c>
      <c r="J24" s="129" t="n">
        <v>4373.8</v>
      </c>
      <c r="K24" s="121" t="inlineStr">
        <is>
          <t>ja</t>
        </is>
      </c>
      <c r="L24" s="121" t="inlineStr">
        <is>
          <t>optional</t>
        </is>
      </c>
      <c r="M24" s="131" t="inlineStr">
        <is>
          <t>Weishaupt-Produktinfo / heat-store.de (COP A15/W10-55, EN 16147, XL) · WT 1,2 m²</t>
        </is>
      </c>
      <c r="N24" s="131" t="inlineStr">
        <is>
          <t>Stahl emailliert (DIN 4753)</t>
        </is>
      </c>
      <c r="O24" s="131" t="inlineStr">
        <is>
          <t>Schutzanode (Typ n. a.)</t>
        </is>
      </c>
      <c r="P24" s="126">
        <f>IFERROR($B$5/F24,"–")</f>
        <v/>
      </c>
      <c r="Q24" s="127">
        <f>IFERROR($D$5*$B$5/F24,"–")</f>
        <v/>
      </c>
    </row>
    <row r="25" ht="20" customHeight="1">
      <c r="A25" s="130" t="inlineStr">
        <is>
          <t>KWB EmpaAir 300 R KWB EmpaAir 300 R</t>
        </is>
      </c>
      <c r="B25" s="114" t="inlineStr">
        <is>
          <t>18.11.2027</t>
        </is>
      </c>
      <c r="C25" s="114" t="inlineStr">
        <is>
          <t>A+</t>
        </is>
      </c>
      <c r="D25" s="115" t="n">
        <v>291</v>
      </c>
      <c r="E25" s="116" t="n">
        <v>1.44</v>
      </c>
      <c r="F25" s="117">
        <f>E25*$B$4</f>
        <v/>
      </c>
      <c r="G25" s="118" t="n">
        <v>60</v>
      </c>
      <c r="H25" s="117" t="n">
        <v>0</v>
      </c>
      <c r="I25" s="114" t="inlineStr">
        <is>
          <t>R-134a</t>
        </is>
      </c>
      <c r="J25" s="114" t="inlineStr">
        <is>
          <t>–</t>
        </is>
      </c>
      <c r="K25" s="114" t="inlineStr">
        <is>
          <t>–</t>
        </is>
      </c>
      <c r="L25" s="114" t="inlineStr">
        <is>
          <t>–</t>
        </is>
      </c>
      <c r="M25" s="130" t="inlineStr">
        <is>
          <t>GET-DB (ηwh_m × Faktor)</t>
        </is>
      </c>
      <c r="N25" s="130" t="inlineStr">
        <is>
          <t>–</t>
        </is>
      </c>
      <c r="O25" s="130" t="inlineStr">
        <is>
          <t>–</t>
        </is>
      </c>
      <c r="P25" s="119">
        <f>IFERROR($B$5/F25,"–")</f>
        <v/>
      </c>
      <c r="Q25" s="120">
        <f>IFERROR($D$5*$B$5/F25,"–")</f>
        <v/>
      </c>
    </row>
    <row r="26" ht="20" customHeight="1">
      <c r="A26" s="131" t="inlineStr">
        <is>
          <t>Stiebel Eltron WWK 300 electronic</t>
        </is>
      </c>
      <c r="B26" s="121" t="inlineStr">
        <is>
          <t>18.11.2027</t>
        </is>
      </c>
      <c r="C26" s="121" t="inlineStr">
        <is>
          <t>A+</t>
        </is>
      </c>
      <c r="D26" s="122" t="n">
        <v>302</v>
      </c>
      <c r="E26" s="123" t="n">
        <v>1.44</v>
      </c>
      <c r="F26" s="124">
        <f>E26*$B$4</f>
        <v/>
      </c>
      <c r="G26" s="125" t="n">
        <v>60</v>
      </c>
      <c r="H26" s="124" t="n">
        <v>0</v>
      </c>
      <c r="I26" s="121" t="inlineStr">
        <is>
          <t>R-134a</t>
        </is>
      </c>
      <c r="J26" s="121" t="inlineStr">
        <is>
          <t>–</t>
        </is>
      </c>
      <c r="K26" s="121" t="inlineStr">
        <is>
          <t>–</t>
        </is>
      </c>
      <c r="L26" s="121" t="inlineStr">
        <is>
          <t>–</t>
        </is>
      </c>
      <c r="M26" s="131" t="inlineStr">
        <is>
          <t>GET-DB (ηwh_m × Faktor)</t>
        </is>
      </c>
      <c r="N26" s="131" t="inlineStr">
        <is>
          <t>emailliert (Spezialemaillierung)</t>
        </is>
      </c>
      <c r="O26" s="131" t="inlineStr">
        <is>
          <t>Fremdstromanode</t>
        </is>
      </c>
      <c r="P26" s="126">
        <f>IFERROR($B$5/F26,"–")</f>
        <v/>
      </c>
      <c r="Q26" s="127">
        <f>IFERROR($D$5*$B$5/F26,"–")</f>
        <v/>
      </c>
    </row>
    <row r="27" ht="20" customHeight="1">
      <c r="A27" s="130" t="inlineStr">
        <is>
          <t>Stiebel Eltron WWK 300 electronic SOL</t>
        </is>
      </c>
      <c r="B27" s="114" t="inlineStr">
        <is>
          <t>18.11.2027</t>
        </is>
      </c>
      <c r="C27" s="114" t="inlineStr">
        <is>
          <t>A+</t>
        </is>
      </c>
      <c r="D27" s="115" t="n">
        <v>291</v>
      </c>
      <c r="E27" s="116" t="n">
        <v>1.44</v>
      </c>
      <c r="F27" s="117">
        <f>E27*$B$4</f>
        <v/>
      </c>
      <c r="G27" s="118" t="n">
        <v>60</v>
      </c>
      <c r="H27" s="117" t="n">
        <v>1.6</v>
      </c>
      <c r="I27" s="114" t="inlineStr">
        <is>
          <t>R-134a</t>
        </is>
      </c>
      <c r="J27" s="114" t="inlineStr">
        <is>
          <t>–</t>
        </is>
      </c>
      <c r="K27" s="114" t="inlineStr">
        <is>
          <t>–</t>
        </is>
      </c>
      <c r="L27" s="114" t="inlineStr">
        <is>
          <t>–</t>
        </is>
      </c>
      <c r="M27" s="130" t="inlineStr">
        <is>
          <t>GET-DB (ηwh_m × Faktor)</t>
        </is>
      </c>
      <c r="N27" s="130" t="inlineStr">
        <is>
          <t>emailliert (Spezialemaillierung)</t>
        </is>
      </c>
      <c r="O27" s="130" t="inlineStr">
        <is>
          <t>Fremdstromanode</t>
        </is>
      </c>
      <c r="P27" s="119">
        <f>IFERROR($B$5/F27,"–")</f>
        <v/>
      </c>
      <c r="Q27" s="120">
        <f>IFERROR($D$5*$B$5/F27,"–")</f>
        <v/>
      </c>
    </row>
    <row r="28" ht="20" customHeight="1">
      <c r="A28" s="131" t="inlineStr">
        <is>
          <t>AEG WPT 300 EL</t>
        </is>
      </c>
      <c r="B28" s="121" t="inlineStr">
        <is>
          <t>–</t>
        </is>
      </c>
      <c r="C28" s="121" t="inlineStr">
        <is>
          <t>A+</t>
        </is>
      </c>
      <c r="D28" s="122" t="n">
        <v>302</v>
      </c>
      <c r="E28" s="123" t="inlineStr">
        <is>
          <t>–</t>
        </is>
      </c>
      <c r="F28" s="124" t="n">
        <v>3.51</v>
      </c>
      <c r="G28" s="125" t="n">
        <v>60</v>
      </c>
      <c r="H28" s="121" t="inlineStr">
        <is>
          <t>–</t>
        </is>
      </c>
      <c r="I28" s="121" t="inlineStr">
        <is>
          <t>–</t>
        </is>
      </c>
      <c r="J28" s="129" t="n">
        <v>1898</v>
      </c>
      <c r="K28" s="121" t="inlineStr">
        <is>
          <t>nein</t>
        </is>
      </c>
      <c r="L28" s="121" t="inlineStr">
        <is>
          <t>–</t>
        </is>
      </c>
      <c r="M28" s="131" t="inlineStr">
        <is>
          <t>HD24 (COP A20)</t>
        </is>
      </c>
      <c r="N28" s="131" t="inlineStr">
        <is>
          <t>–</t>
        </is>
      </c>
      <c r="O28" s="131" t="inlineStr">
        <is>
          <t>–</t>
        </is>
      </c>
      <c r="P28" s="126">
        <f>IFERROR($B$5/F28,"–")</f>
        <v/>
      </c>
      <c r="Q28" s="127">
        <f>IFERROR($D$5*$B$5/F28,"–")</f>
        <v/>
      </c>
    </row>
    <row r="29" ht="20" customHeight="1">
      <c r="A29" s="130" t="inlineStr">
        <is>
          <t>AEG WPT 300 EL plus</t>
        </is>
      </c>
      <c r="B29" s="114" t="inlineStr">
        <is>
          <t>–</t>
        </is>
      </c>
      <c r="C29" s="114" t="inlineStr">
        <is>
          <t>A+</t>
        </is>
      </c>
      <c r="D29" s="115" t="n">
        <v>291</v>
      </c>
      <c r="E29" s="116" t="inlineStr">
        <is>
          <t>–</t>
        </is>
      </c>
      <c r="F29" s="117" t="n">
        <v>3.51</v>
      </c>
      <c r="G29" s="118" t="n">
        <v>60</v>
      </c>
      <c r="H29" s="114" t="inlineStr">
        <is>
          <t>–</t>
        </is>
      </c>
      <c r="I29" s="114" t="inlineStr">
        <is>
          <t>–</t>
        </is>
      </c>
      <c r="J29" s="128" t="n">
        <v>1998</v>
      </c>
      <c r="K29" s="114" t="inlineStr">
        <is>
          <t>ja (plus)</t>
        </is>
      </c>
      <c r="L29" s="114" t="inlineStr">
        <is>
          <t>–</t>
        </is>
      </c>
      <c r="M29" s="130" t="inlineStr">
        <is>
          <t>HD24 (COP A20)</t>
        </is>
      </c>
      <c r="N29" s="130" t="inlineStr">
        <is>
          <t>–</t>
        </is>
      </c>
      <c r="O29" s="130" t="inlineStr">
        <is>
          <t>–</t>
        </is>
      </c>
      <c r="P29" s="119">
        <f>IFERROR($B$5/F29,"–")</f>
        <v/>
      </c>
      <c r="Q29" s="120">
        <f>IFERROR($D$5*$B$5/F29,"–")</f>
        <v/>
      </c>
    </row>
    <row r="30" ht="20" customHeight="1">
      <c r="A30" s="131" t="inlineStr">
        <is>
          <t>Viessmann Vitocal 262-A T2H-R290</t>
        </is>
      </c>
      <c r="B30" s="121" t="inlineStr">
        <is>
          <t>08.04.2027</t>
        </is>
      </c>
      <c r="C30" s="121" t="inlineStr">
        <is>
          <t>A+</t>
        </is>
      </c>
      <c r="D30" s="122" t="n">
        <v>300</v>
      </c>
      <c r="E30" s="123" t="n">
        <v>1.39</v>
      </c>
      <c r="F30" s="124">
        <f>E30*$B$4</f>
        <v/>
      </c>
      <c r="G30" s="125" t="n">
        <v>48</v>
      </c>
      <c r="H30" s="124" t="n">
        <v>0</v>
      </c>
      <c r="I30" s="121" t="inlineStr">
        <is>
          <t>R-290</t>
        </is>
      </c>
      <c r="J30" s="121" t="inlineStr">
        <is>
          <t>–</t>
        </is>
      </c>
      <c r="K30" s="121" t="inlineStr">
        <is>
          <t>–</t>
        </is>
      </c>
      <c r="L30" s="121" t="inlineStr">
        <is>
          <t>–</t>
        </is>
      </c>
      <c r="M30" s="131" t="inlineStr">
        <is>
          <t>GET-DB (ηwh_m × Faktor)</t>
        </is>
      </c>
      <c r="N30" s="131" t="inlineStr">
        <is>
          <t>emailliert (Ceraprotect)</t>
        </is>
      </c>
      <c r="O30" s="131" t="inlineStr">
        <is>
          <t>Magnesiumanode (elektr. überwacht)</t>
        </is>
      </c>
      <c r="P30" s="126">
        <f>IFERROR($B$5/F30,"–")</f>
        <v/>
      </c>
      <c r="Q30" s="127">
        <f>IFERROR($D$5*$B$5/F30,"–")</f>
        <v/>
      </c>
    </row>
    <row r="31" ht="20" customHeight="1">
      <c r="A31" s="130" t="inlineStr">
        <is>
          <t>Kermi x-change aqua eco XL</t>
        </is>
      </c>
      <c r="B31" s="114" t="inlineStr">
        <is>
          <t>–</t>
        </is>
      </c>
      <c r="C31" s="114" t="inlineStr">
        <is>
          <t>A+</t>
        </is>
      </c>
      <c r="D31" s="115" t="n">
        <v>270</v>
      </c>
      <c r="E31" s="116" t="inlineStr">
        <is>
          <t>–</t>
        </is>
      </c>
      <c r="F31" s="117" t="n">
        <v>3.47</v>
      </c>
      <c r="G31" s="118" t="n">
        <v>56</v>
      </c>
      <c r="H31" s="114" t="inlineStr">
        <is>
          <t>–</t>
        </is>
      </c>
      <c r="I31" s="114" t="inlineStr">
        <is>
          <t>R-290</t>
        </is>
      </c>
      <c r="J31" s="128" t="n">
        <v>2139</v>
      </c>
      <c r="K31" s="114" t="inlineStr">
        <is>
          <t>ja</t>
        </is>
      </c>
      <c r="L31" s="115" t="n">
        <v>2200</v>
      </c>
      <c r="M31" s="130" t="inlineStr">
        <is>
          <t>HD24 (COP A20/W10-53)</t>
        </is>
      </c>
      <c r="N31" s="130" t="inlineStr">
        <is>
          <t>emailliert</t>
        </is>
      </c>
      <c r="O31" s="130" t="inlineStr">
        <is>
          <t>–</t>
        </is>
      </c>
      <c r="P31" s="119">
        <f>IFERROR($B$5/F31,"–")</f>
        <v/>
      </c>
      <c r="Q31" s="120">
        <f>IFERROR($D$5*$B$5/F31,"–")</f>
        <v/>
      </c>
    </row>
    <row r="32" ht="20" customHeight="1">
      <c r="A32" s="131" t="inlineStr">
        <is>
          <t>Viessmann Vitocal 161-A WWK 161.A02</t>
        </is>
      </c>
      <c r="B32" s="121" t="inlineStr">
        <is>
          <t>06.11.2019</t>
        </is>
      </c>
      <c r="C32" s="121" t="inlineStr">
        <is>
          <t>A+</t>
        </is>
      </c>
      <c r="D32" s="122" t="n">
        <v>308</v>
      </c>
      <c r="E32" s="123" t="n">
        <v>1.36</v>
      </c>
      <c r="F32" s="124">
        <f>E32*$B$4</f>
        <v/>
      </c>
      <c r="G32" s="125" t="n">
        <v>56</v>
      </c>
      <c r="H32" s="124" t="n">
        <v>2.5</v>
      </c>
      <c r="I32" s="121" t="inlineStr">
        <is>
          <t>R-134a</t>
        </is>
      </c>
      <c r="J32" s="121" t="inlineStr">
        <is>
          <t>–</t>
        </is>
      </c>
      <c r="K32" s="121" t="inlineStr">
        <is>
          <t>–</t>
        </is>
      </c>
      <c r="L32" s="121" t="inlineStr">
        <is>
          <t>–</t>
        </is>
      </c>
      <c r="M32" s="131" t="inlineStr">
        <is>
          <t>GET-DB (ηwh_m × Faktor)</t>
        </is>
      </c>
      <c r="N32" s="131" t="inlineStr">
        <is>
          <t>emailliert (Ceraprotect)</t>
        </is>
      </c>
      <c r="O32" s="131" t="inlineStr">
        <is>
          <t>–</t>
        </is>
      </c>
      <c r="P32" s="126">
        <f>IFERROR($B$5/F32,"–")</f>
        <v/>
      </c>
      <c r="Q32" s="127">
        <f>IFERROR($D$5*$B$5/F32,"–")</f>
        <v/>
      </c>
    </row>
    <row r="33" ht="20" customHeight="1">
      <c r="A33" s="130" t="inlineStr">
        <is>
          <t>Viessmann Vitocal 161-A WWKS 161.A02</t>
        </is>
      </c>
      <c r="B33" s="114" t="inlineStr">
        <is>
          <t>06.11.2019</t>
        </is>
      </c>
      <c r="C33" s="114" t="inlineStr">
        <is>
          <t>A+</t>
        </is>
      </c>
      <c r="D33" s="115" t="n">
        <v>300</v>
      </c>
      <c r="E33" s="116" t="n">
        <v>1.36</v>
      </c>
      <c r="F33" s="117">
        <f>E33*$B$4</f>
        <v/>
      </c>
      <c r="G33" s="118" t="n">
        <v>56</v>
      </c>
      <c r="H33" s="117" t="n">
        <v>2.5</v>
      </c>
      <c r="I33" s="114" t="inlineStr">
        <is>
          <t>R-134a</t>
        </is>
      </c>
      <c r="J33" s="114" t="inlineStr">
        <is>
          <t>–</t>
        </is>
      </c>
      <c r="K33" s="114" t="inlineStr">
        <is>
          <t>–</t>
        </is>
      </c>
      <c r="L33" s="114" t="inlineStr">
        <is>
          <t>–</t>
        </is>
      </c>
      <c r="M33" s="130" t="inlineStr">
        <is>
          <t>GET-DB (ηwh_m × Faktor)</t>
        </is>
      </c>
      <c r="N33" s="130" t="inlineStr">
        <is>
          <t>emailliert (Ceraprotect)</t>
        </is>
      </c>
      <c r="O33" s="130" t="inlineStr">
        <is>
          <t>–</t>
        </is>
      </c>
      <c r="P33" s="119">
        <f>IFERROR($B$5/F33,"–")</f>
        <v/>
      </c>
      <c r="Q33" s="120">
        <f>IFERROR($D$5*$B$5/F33,"–")</f>
        <v/>
      </c>
    </row>
    <row r="34" ht="20" customHeight="1">
      <c r="A34" s="131" t="inlineStr">
        <is>
          <t>Herz commotherm BWP 300</t>
        </is>
      </c>
      <c r="B34" s="121" t="inlineStr">
        <is>
          <t>14.03.2028</t>
        </is>
      </c>
      <c r="C34" s="121" t="inlineStr">
        <is>
          <t>A+</t>
        </is>
      </c>
      <c r="D34" s="122" t="n">
        <v>300</v>
      </c>
      <c r="E34" s="123" t="n">
        <v>1.334</v>
      </c>
      <c r="F34" s="124">
        <f>E34*$B$4</f>
        <v/>
      </c>
      <c r="G34" s="125" t="n">
        <v>50</v>
      </c>
      <c r="H34" s="124" t="n">
        <v>0</v>
      </c>
      <c r="I34" s="121" t="inlineStr">
        <is>
          <t>R-134a</t>
        </is>
      </c>
      <c r="J34" s="121" t="inlineStr">
        <is>
          <t>–</t>
        </is>
      </c>
      <c r="K34" s="121" t="inlineStr">
        <is>
          <t>–</t>
        </is>
      </c>
      <c r="L34" s="121" t="inlineStr">
        <is>
          <t>–</t>
        </is>
      </c>
      <c r="M34" s="131" t="inlineStr">
        <is>
          <t>GET-DB (ηwh_m × Faktor)</t>
        </is>
      </c>
      <c r="N34" s="131" t="inlineStr">
        <is>
          <t>–</t>
        </is>
      </c>
      <c r="O34" s="131" t="inlineStr">
        <is>
          <t>–</t>
        </is>
      </c>
      <c r="P34" s="126">
        <f>IFERROR($B$5/F34,"–")</f>
        <v/>
      </c>
      <c r="Q34" s="127">
        <f>IFERROR($D$5*$B$5/F34,"–")</f>
        <v/>
      </c>
    </row>
    <row r="35" ht="20" customHeight="1">
      <c r="A35" s="130" t="inlineStr">
        <is>
          <t>KWB EmpaAir 300 AR KWB EmpaAir 300 AR</t>
        </is>
      </c>
      <c r="B35" s="114" t="inlineStr">
        <is>
          <t>18.11.2027</t>
        </is>
      </c>
      <c r="C35" s="114" t="inlineStr">
        <is>
          <t>A+</t>
        </is>
      </c>
      <c r="D35" s="115" t="n">
        <v>291</v>
      </c>
      <c r="E35" s="116" t="n">
        <v>1.33</v>
      </c>
      <c r="F35" s="117">
        <f>E35*$B$4</f>
        <v/>
      </c>
      <c r="G35" s="118" t="n">
        <v>52</v>
      </c>
      <c r="H35" s="117" t="n">
        <v>0</v>
      </c>
      <c r="I35" s="114" t="inlineStr">
        <is>
          <t>R-134a</t>
        </is>
      </c>
      <c r="J35" s="114" t="inlineStr">
        <is>
          <t>–</t>
        </is>
      </c>
      <c r="K35" s="114" t="inlineStr">
        <is>
          <t>–</t>
        </is>
      </c>
      <c r="L35" s="114" t="inlineStr">
        <is>
          <t>–</t>
        </is>
      </c>
      <c r="M35" s="130" t="inlineStr">
        <is>
          <t>GET-DB (ηwh_m × Faktor)</t>
        </is>
      </c>
      <c r="N35" s="130" t="inlineStr">
        <is>
          <t>–</t>
        </is>
      </c>
      <c r="O35" s="130" t="inlineStr">
        <is>
          <t>–</t>
        </is>
      </c>
      <c r="P35" s="119">
        <f>IFERROR($B$5/F35,"–")</f>
        <v/>
      </c>
      <c r="Q35" s="120">
        <f>IFERROR($D$5*$B$5/F35,"–")</f>
        <v/>
      </c>
    </row>
    <row r="36" ht="20" customHeight="1">
      <c r="A36" s="131" t="inlineStr">
        <is>
          <t>Stiebel Eltron WWK 301 electronic SOL</t>
        </is>
      </c>
      <c r="B36" s="121" t="inlineStr">
        <is>
          <t>18.11.2027</t>
        </is>
      </c>
      <c r="C36" s="121" t="inlineStr">
        <is>
          <t>A+</t>
        </is>
      </c>
      <c r="D36" s="122" t="n">
        <v>291</v>
      </c>
      <c r="E36" s="123" t="n">
        <v>1.33</v>
      </c>
      <c r="F36" s="124">
        <f>E36*$B$4</f>
        <v/>
      </c>
      <c r="G36" s="125" t="n">
        <v>52</v>
      </c>
      <c r="H36" s="124" t="n">
        <v>1.6</v>
      </c>
      <c r="I36" s="121" t="inlineStr">
        <is>
          <t>R-134a</t>
        </is>
      </c>
      <c r="J36" s="121" t="inlineStr">
        <is>
          <t>–</t>
        </is>
      </c>
      <c r="K36" s="121" t="inlineStr">
        <is>
          <t>–</t>
        </is>
      </c>
      <c r="L36" s="121" t="inlineStr">
        <is>
          <t>–</t>
        </is>
      </c>
      <c r="M36" s="131" t="inlineStr">
        <is>
          <t>GET-DB (ηwh_m × Faktor)</t>
        </is>
      </c>
      <c r="N36" s="131" t="inlineStr">
        <is>
          <t>emailliert (Spezialemaillierung)</t>
        </is>
      </c>
      <c r="O36" s="131" t="inlineStr">
        <is>
          <t>Fremdstromanode</t>
        </is>
      </c>
      <c r="P36" s="126">
        <f>IFERROR($B$5/F36,"–")</f>
        <v/>
      </c>
      <c r="Q36" s="127">
        <f>IFERROR($D$5*$B$5/F36,"–")</f>
        <v/>
      </c>
    </row>
    <row r="37" ht="20" customHeight="1">
      <c r="A37" s="130" t="inlineStr">
        <is>
          <t>Stiebel Eltron WWK 301 electronic</t>
        </is>
      </c>
      <c r="B37" s="114" t="inlineStr">
        <is>
          <t>18.11.2024</t>
        </is>
      </c>
      <c r="C37" s="114" t="inlineStr">
        <is>
          <t>A+</t>
        </is>
      </c>
      <c r="D37" s="115" t="n">
        <v>302</v>
      </c>
      <c r="E37" s="116" t="n">
        <v>1.32</v>
      </c>
      <c r="F37" s="117">
        <f>E37*$B$4</f>
        <v/>
      </c>
      <c r="G37" s="118" t="n">
        <v>52</v>
      </c>
      <c r="H37" s="117" t="n">
        <v>0</v>
      </c>
      <c r="I37" s="114" t="inlineStr">
        <is>
          <t>R-134a</t>
        </is>
      </c>
      <c r="J37" s="114" t="inlineStr">
        <is>
          <t>–</t>
        </is>
      </c>
      <c r="K37" s="114" t="inlineStr">
        <is>
          <t>–</t>
        </is>
      </c>
      <c r="L37" s="114" t="inlineStr">
        <is>
          <t>–</t>
        </is>
      </c>
      <c r="M37" s="130" t="inlineStr">
        <is>
          <t>GET-DB (ηwh_m × Faktor)</t>
        </is>
      </c>
      <c r="N37" s="130" t="inlineStr">
        <is>
          <t>emailliert (Spezialemaillierung)</t>
        </is>
      </c>
      <c r="O37" s="130" t="inlineStr">
        <is>
          <t>Fremdstromanode</t>
        </is>
      </c>
      <c r="P37" s="119">
        <f>IFERROR($B$5/F37,"–")</f>
        <v/>
      </c>
      <c r="Q37" s="120">
        <f>IFERROR($D$5*$B$5/F37,"–")</f>
        <v/>
      </c>
    </row>
    <row r="38" ht="20" customHeight="1">
      <c r="A38" s="131" t="inlineStr">
        <is>
          <t>Alarko FLR-HWH-300C</t>
        </is>
      </c>
      <c r="B38" s="121" t="inlineStr">
        <is>
          <t>–</t>
        </is>
      </c>
      <c r="C38" s="121" t="inlineStr">
        <is>
          <t>A+</t>
        </is>
      </c>
      <c r="D38" s="122" t="n">
        <v>300</v>
      </c>
      <c r="E38" s="123" t="inlineStr">
        <is>
          <t>–</t>
        </is>
      </c>
      <c r="F38" s="124" t="n">
        <v>3.25</v>
      </c>
      <c r="G38" s="125" t="n">
        <v>54</v>
      </c>
      <c r="H38" s="121" t="inlineStr">
        <is>
          <t>–</t>
        </is>
      </c>
      <c r="I38" s="121" t="inlineStr">
        <is>
          <t>R-290</t>
        </is>
      </c>
      <c r="J38" s="129" t="n">
        <v>1459</v>
      </c>
      <c r="K38" s="121" t="inlineStr">
        <is>
          <t>nein</t>
        </is>
      </c>
      <c r="L38" s="122" t="n">
        <v>1640</v>
      </c>
      <c r="M38" s="131" t="inlineStr">
        <is>
          <t>HD24 (COP EN16147 15/12 °C)</t>
        </is>
      </c>
      <c r="N38" s="131" t="inlineStr">
        <is>
          <t>–</t>
        </is>
      </c>
      <c r="O38" s="131" t="inlineStr">
        <is>
          <t>–</t>
        </is>
      </c>
      <c r="P38" s="126">
        <f>IFERROR($B$5/F38,"–")</f>
        <v/>
      </c>
      <c r="Q38" s="127">
        <f>IFERROR($D$5*$B$5/F38,"–")</f>
        <v/>
      </c>
    </row>
    <row r="39" ht="20" customHeight="1">
      <c r="A39" s="130" t="inlineStr">
        <is>
          <t>Styleboiler Futura Eco X 300</t>
        </is>
      </c>
      <c r="B39" s="114" t="inlineStr">
        <is>
          <t>–</t>
        </is>
      </c>
      <c r="C39" s="114" t="inlineStr">
        <is>
          <t>A+</t>
        </is>
      </c>
      <c r="D39" s="115" t="n">
        <v>285</v>
      </c>
      <c r="E39" s="116" t="inlineStr">
        <is>
          <t>–</t>
        </is>
      </c>
      <c r="F39" s="117" t="n">
        <v>3.24</v>
      </c>
      <c r="G39" s="118" t="n">
        <v>51</v>
      </c>
      <c r="H39" s="114" t="inlineStr">
        <is>
          <t>–</t>
        </is>
      </c>
      <c r="I39" s="114" t="inlineStr">
        <is>
          <t>R-290</t>
        </is>
      </c>
      <c r="J39" s="128" t="n">
        <v>1879</v>
      </c>
      <c r="K39" s="114" t="inlineStr">
        <is>
          <t>nein</t>
        </is>
      </c>
      <c r="L39" s="115" t="n">
        <v>1500</v>
      </c>
      <c r="M39" s="130" t="inlineStr">
        <is>
          <t>HD24 (COP Hersteller)</t>
        </is>
      </c>
      <c r="N39" s="130" t="inlineStr">
        <is>
          <t>–</t>
        </is>
      </c>
      <c r="O39" s="130" t="inlineStr">
        <is>
          <t>–</t>
        </is>
      </c>
      <c r="P39" s="119">
        <f>IFERROR($B$5/F39,"–")</f>
        <v/>
      </c>
      <c r="Q39" s="120">
        <f>IFERROR($D$5*$B$5/F39,"–")</f>
        <v/>
      </c>
    </row>
    <row r="40" ht="20" customHeight="1">
      <c r="A40" s="131" t="inlineStr">
        <is>
          <t>Styleboiler Futura Eco X 1 WT 300 W</t>
        </is>
      </c>
      <c r="B40" s="121" t="inlineStr">
        <is>
          <t>–</t>
        </is>
      </c>
      <c r="C40" s="121" t="inlineStr">
        <is>
          <t>A+</t>
        </is>
      </c>
      <c r="D40" s="122" t="n">
        <v>285</v>
      </c>
      <c r="E40" s="123" t="inlineStr">
        <is>
          <t>–</t>
        </is>
      </c>
      <c r="F40" s="124" t="n">
        <v>3.24</v>
      </c>
      <c r="G40" s="125" t="n">
        <v>51</v>
      </c>
      <c r="H40" s="121" t="inlineStr">
        <is>
          <t>–</t>
        </is>
      </c>
      <c r="I40" s="121" t="inlineStr">
        <is>
          <t>R-290</t>
        </is>
      </c>
      <c r="J40" s="129" t="n">
        <v>2049</v>
      </c>
      <c r="K40" s="121" t="inlineStr">
        <is>
          <t>ja (WT)</t>
        </is>
      </c>
      <c r="L40" s="122" t="n">
        <v>1500</v>
      </c>
      <c r="M40" s="131" t="inlineStr">
        <is>
          <t>HD24 (COP Hersteller)</t>
        </is>
      </c>
      <c r="N40" s="131" t="inlineStr">
        <is>
          <t>–</t>
        </is>
      </c>
      <c r="O40" s="131" t="inlineStr">
        <is>
          <t>–</t>
        </is>
      </c>
      <c r="P40" s="126">
        <f>IFERROR($B$5/F40,"–")</f>
        <v/>
      </c>
      <c r="Q40" s="127">
        <f>IFERROR($D$5*$B$5/F40,"–")</f>
        <v/>
      </c>
    </row>
    <row r="41" ht="20" customHeight="1">
      <c r="A41" s="130" t="inlineStr">
        <is>
          <t>Hofman Energy Avarma 190, 300 L</t>
        </is>
      </c>
      <c r="B41" s="114" t="inlineStr">
        <is>
          <t>–</t>
        </is>
      </c>
      <c r="C41" s="114" t="inlineStr">
        <is>
          <t>A+</t>
        </is>
      </c>
      <c r="D41" s="115" t="n">
        <v>300</v>
      </c>
      <c r="E41" s="116" t="inlineStr">
        <is>
          <t>–</t>
        </is>
      </c>
      <c r="F41" s="117" t="n">
        <v>3.24</v>
      </c>
      <c r="G41" s="114" t="inlineStr">
        <is>
          <t>–</t>
        </is>
      </c>
      <c r="H41" s="114" t="inlineStr">
        <is>
          <t>–</t>
        </is>
      </c>
      <c r="I41" s="114" t="inlineStr">
        <is>
          <t>R-290</t>
        </is>
      </c>
      <c r="J41" s="128" t="n">
        <v>1799.99</v>
      </c>
      <c r="K41" s="114" t="inlineStr">
        <is>
          <t>ja (Register 2)</t>
        </is>
      </c>
      <c r="L41" s="115" t="n">
        <v>1500</v>
      </c>
      <c r="M41" s="130" t="inlineStr">
        <is>
          <t>hofman-energy.com (COP DHW)</t>
        </is>
      </c>
      <c r="N41" s="130" t="inlineStr">
        <is>
          <t>Edelstahl (Duplex 2205)</t>
        </is>
      </c>
      <c r="O41" s="130" t="inlineStr">
        <is>
          <t>elektronische Anode</t>
        </is>
      </c>
      <c r="P41" s="119">
        <f>IFERROR($B$5/F41,"–")</f>
        <v/>
      </c>
      <c r="Q41" s="120">
        <f>IFERROR($D$5*$B$5/F41,"–")</f>
        <v/>
      </c>
    </row>
    <row r="42" ht="20" customHeight="1">
      <c r="A42" s="131" t="inlineStr">
        <is>
          <t>Dimplex DHW 301P</t>
        </is>
      </c>
      <c r="B42" s="121" t="inlineStr">
        <is>
          <t>28.03.2027</t>
        </is>
      </c>
      <c r="C42" s="121" t="inlineStr">
        <is>
          <t>A+</t>
        </is>
      </c>
      <c r="D42" s="122" t="n">
        <v>270</v>
      </c>
      <c r="E42" s="123" t="n">
        <v>1.29</v>
      </c>
      <c r="F42" s="124">
        <f>E42*$B$4</f>
        <v/>
      </c>
      <c r="G42" s="125" t="n">
        <v>50</v>
      </c>
      <c r="H42" s="124" t="n">
        <v>0</v>
      </c>
      <c r="I42" s="121" t="inlineStr">
        <is>
          <t>R-290</t>
        </is>
      </c>
      <c r="J42" s="121" t="inlineStr">
        <is>
          <t>–</t>
        </is>
      </c>
      <c r="K42" s="121" t="inlineStr">
        <is>
          <t>nein</t>
        </is>
      </c>
      <c r="L42" s="122" t="n">
        <v>1200</v>
      </c>
      <c r="M42" s="131" t="inlineStr">
        <is>
          <t>GET-DB + Dimplex-Montageanweisung (ηwh_m × Faktor)</t>
        </is>
      </c>
      <c r="N42" s="131" t="inlineStr">
        <is>
          <t>Stahl emailliert</t>
        </is>
      </c>
      <c r="O42" s="131" t="inlineStr">
        <is>
          <t>Magnesium-Opferanode</t>
        </is>
      </c>
      <c r="P42" s="126">
        <f>IFERROR($B$5/F42,"–")</f>
        <v/>
      </c>
      <c r="Q42" s="127">
        <f>IFERROR($D$5*$B$5/F42,"–")</f>
        <v/>
      </c>
    </row>
    <row r="43" ht="20" customHeight="1">
      <c r="A43" s="130" t="inlineStr">
        <is>
          <t>OCHSNER EUROPA Mini IWP</t>
        </is>
      </c>
      <c r="B43" s="114" t="inlineStr">
        <is>
          <t>22.06.2027</t>
        </is>
      </c>
      <c r="C43" s="114" t="inlineStr">
        <is>
          <t>A+</t>
        </is>
      </c>
      <c r="D43" s="115" t="n">
        <v>305</v>
      </c>
      <c r="E43" s="116" t="n">
        <v>1.29</v>
      </c>
      <c r="F43" s="117">
        <f>E43*$B$4</f>
        <v/>
      </c>
      <c r="G43" s="118" t="n">
        <v>57</v>
      </c>
      <c r="H43" s="117" t="n">
        <v>0</v>
      </c>
      <c r="I43" s="114" t="inlineStr">
        <is>
          <t>R-134a</t>
        </is>
      </c>
      <c r="J43" s="114" t="inlineStr">
        <is>
          <t>–</t>
        </is>
      </c>
      <c r="K43" s="114" t="inlineStr">
        <is>
          <t>–</t>
        </is>
      </c>
      <c r="L43" s="114" t="inlineStr">
        <is>
          <t>–</t>
        </is>
      </c>
      <c r="M43" s="130" t="inlineStr">
        <is>
          <t>GET-DB (ηwh_m × Faktor)</t>
        </is>
      </c>
      <c r="N43" s="130" t="inlineStr">
        <is>
          <t>–</t>
        </is>
      </c>
      <c r="O43" s="130" t="inlineStr">
        <is>
          <t>–</t>
        </is>
      </c>
      <c r="P43" s="119">
        <f>IFERROR($B$5/F43,"–")</f>
        <v/>
      </c>
      <c r="Q43" s="120">
        <f>IFERROR($D$5*$B$5/F43,"–")</f>
        <v/>
      </c>
    </row>
    <row r="44" ht="20" customHeight="1">
      <c r="A44" s="131" t="inlineStr">
        <is>
          <t>Wolf FHS-280-HE</t>
        </is>
      </c>
      <c r="B44" s="121" t="inlineStr">
        <is>
          <t>–</t>
        </is>
      </c>
      <c r="C44" s="121" t="inlineStr">
        <is>
          <t>A+</t>
        </is>
      </c>
      <c r="D44" s="122" t="n">
        <v>270</v>
      </c>
      <c r="E44" s="123" t="inlineStr">
        <is>
          <t>–</t>
        </is>
      </c>
      <c r="F44" s="124" t="n">
        <v>3.15</v>
      </c>
      <c r="G44" s="125" t="n">
        <v>58</v>
      </c>
      <c r="H44" s="121" t="inlineStr">
        <is>
          <t>–</t>
        </is>
      </c>
      <c r="I44" s="121" t="inlineStr">
        <is>
          <t>R-290</t>
        </is>
      </c>
      <c r="J44" s="129" t="n">
        <v>2749</v>
      </c>
      <c r="K44" s="121" t="inlineStr">
        <is>
          <t>ja (HE)</t>
        </is>
      </c>
      <c r="L44" s="122" t="n">
        <v>2000</v>
      </c>
      <c r="M44" s="131" t="inlineStr">
        <is>
          <t>HD24 (COP A20/W10-55) – Kältemittel lt. HD24 R290, Vorgängerserie R134a</t>
        </is>
      </c>
      <c r="N44" s="131" t="inlineStr">
        <is>
          <t>emaillierter Stahl</t>
        </is>
      </c>
      <c r="O44" s="131" t="inlineStr">
        <is>
          <t>Magnesiumanode</t>
        </is>
      </c>
      <c r="P44" s="126">
        <f>IFERROR($B$5/F44,"–")</f>
        <v/>
      </c>
      <c r="Q44" s="127">
        <f>IFERROR($D$5*$B$5/F44,"–")</f>
        <v/>
      </c>
    </row>
    <row r="45" ht="20" customHeight="1">
      <c r="A45" s="130" t="inlineStr">
        <is>
          <t>Vaillant fluoSTOR VWH B 270/1</t>
        </is>
      </c>
      <c r="B45" s="114" t="inlineStr">
        <is>
          <t>21.02.2027</t>
        </is>
      </c>
      <c r="C45" s="114" t="inlineStr">
        <is>
          <t>A+</t>
        </is>
      </c>
      <c r="D45" s="115" t="n">
        <v>270</v>
      </c>
      <c r="E45" s="116" t="n">
        <v>1.2563</v>
      </c>
      <c r="F45" s="117">
        <f>E45*$B$4</f>
        <v/>
      </c>
      <c r="G45" s="118" t="n">
        <v>48</v>
      </c>
      <c r="H45" s="117" t="n">
        <v>0</v>
      </c>
      <c r="I45" s="114" t="inlineStr">
        <is>
          <t>R-290</t>
        </is>
      </c>
      <c r="J45" s="114" t="inlineStr">
        <is>
          <t>–</t>
        </is>
      </c>
      <c r="K45" s="114" t="inlineStr">
        <is>
          <t>–</t>
        </is>
      </c>
      <c r="L45" s="114" t="inlineStr">
        <is>
          <t>–</t>
        </is>
      </c>
      <c r="M45" s="130" t="inlineStr">
        <is>
          <t>GET-DB (ηwh_m × Faktor)</t>
        </is>
      </c>
      <c r="N45" s="130" t="inlineStr">
        <is>
          <t>emaillierter Stahl</t>
        </is>
      </c>
      <c r="O45" s="130" t="inlineStr">
        <is>
          <t>Magnesiumanode</t>
        </is>
      </c>
      <c r="P45" s="119">
        <f>IFERROR($B$5/F45,"–")</f>
        <v/>
      </c>
      <c r="Q45" s="120">
        <f>IFERROR($D$5*$B$5/F45,"–")</f>
        <v/>
      </c>
    </row>
    <row r="46" ht="20" customHeight="1">
      <c r="A46" s="131" t="inlineStr">
        <is>
          <t>Alarko FLR-HWH-300CSC</t>
        </is>
      </c>
      <c r="B46" s="121" t="inlineStr">
        <is>
          <t>–</t>
        </is>
      </c>
      <c r="C46" s="121" t="inlineStr">
        <is>
          <t>A</t>
        </is>
      </c>
      <c r="D46" s="122" t="n">
        <v>300</v>
      </c>
      <c r="E46" s="123" t="inlineStr">
        <is>
          <t>–</t>
        </is>
      </c>
      <c r="F46" s="124" t="n">
        <v>3.13</v>
      </c>
      <c r="G46" s="125" t="n">
        <v>51</v>
      </c>
      <c r="H46" s="121" t="inlineStr">
        <is>
          <t>–</t>
        </is>
      </c>
      <c r="I46" s="121" t="inlineStr">
        <is>
          <t>R-290</t>
        </is>
      </c>
      <c r="J46" s="129" t="n">
        <v>1569</v>
      </c>
      <c r="K46" s="121" t="inlineStr">
        <is>
          <t>ja (CSC)</t>
        </is>
      </c>
      <c r="L46" s="122" t="n">
        <v>1640</v>
      </c>
      <c r="M46" s="131" t="inlineStr">
        <is>
          <t>HD24 (COP EN16147 15/12 °C)</t>
        </is>
      </c>
      <c r="N46" s="131" t="inlineStr">
        <is>
          <t>–</t>
        </is>
      </c>
      <c r="O46" s="131" t="inlineStr">
        <is>
          <t>–</t>
        </is>
      </c>
      <c r="P46" s="126">
        <f>IFERROR($B$5/F46,"–")</f>
        <v/>
      </c>
      <c r="Q46" s="127">
        <f>IFERROR($D$5*$B$5/F46,"–")</f>
        <v/>
      </c>
    </row>
    <row r="47" ht="20" customHeight="1">
      <c r="A47" s="130" t="inlineStr">
        <is>
          <t>ÖkoFEN Brauchwasser-Wärmepumpe 300</t>
        </is>
      </c>
      <c r="B47" s="114" t="inlineStr">
        <is>
          <t>–</t>
        </is>
      </c>
      <c r="C47" s="114" t="inlineStr">
        <is>
          <t>A+</t>
        </is>
      </c>
      <c r="D47" s="115" t="n">
        <v>300</v>
      </c>
      <c r="E47" s="116" t="inlineStr">
        <is>
          <t>–</t>
        </is>
      </c>
      <c r="F47" s="117" t="n">
        <v>3.1</v>
      </c>
      <c r="G47" s="118" t="n">
        <v>55.7</v>
      </c>
      <c r="H47" s="114" t="inlineStr">
        <is>
          <t>–</t>
        </is>
      </c>
      <c r="I47" s="114" t="inlineStr">
        <is>
          <t>R-290</t>
        </is>
      </c>
      <c r="J47" s="114" t="inlineStr">
        <is>
          <t>ca. 3.000–4.000</t>
        </is>
      </c>
      <c r="K47" s="114" t="inlineStr">
        <is>
          <t>ja</t>
        </is>
      </c>
      <c r="L47" s="115" t="n">
        <v>1600</v>
      </c>
      <c r="M47" s="130" t="inlineStr">
        <is>
          <t>oekofen.com (COP 20/15 °C) · WT 1 m²</t>
        </is>
      </c>
      <c r="N47" s="130" t="inlineStr">
        <is>
          <t>Edelstahl</t>
        </is>
      </c>
      <c r="O47" s="130" t="inlineStr">
        <is>
          <t>–</t>
        </is>
      </c>
      <c r="P47" s="119">
        <f>IFERROR($B$5/F47,"–")</f>
        <v/>
      </c>
      <c r="Q47" s="120">
        <f>IFERROR($D$5*$B$5/F47,"–")</f>
        <v/>
      </c>
    </row>
    <row r="48" ht="20" customHeight="1">
      <c r="A48" s="131" t="n"/>
      <c r="B48" s="121" t="n"/>
      <c r="C48" s="121" t="n"/>
      <c r="D48" s="122" t="n"/>
      <c r="E48" s="123" t="n"/>
      <c r="F48" s="124" t="n"/>
      <c r="G48" s="125" t="n"/>
      <c r="H48" s="121" t="n"/>
      <c r="I48" s="121" t="n"/>
      <c r="J48" s="121" t="n"/>
      <c r="K48" s="121" t="n"/>
      <c r="L48" s="122" t="n"/>
      <c r="M48" s="131" t="n"/>
      <c r="N48" s="131" t="n"/>
      <c r="O48" s="131" t="n"/>
      <c r="P48" s="126" t="n"/>
      <c r="Q48" s="127" t="n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autoFilter ref="A6:Q47"/>
  <mergeCells count="3">
    <mergeCell ref="A3:I3"/>
    <mergeCell ref="A2:I2"/>
    <mergeCell ref="C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2026-09-19T10:45:08Z</dcterms:created>
  <dcterms:modified xmlns:dcterms="http://purl.org/dc/terms/" xmlns:xsi="http://www.w3.org/2001/XMLSchema-instance" xsi:type="dcterms:W3CDTF">2026-09-23T10:43:51Z</dcterms:modified>
</cp:coreProperties>
</file>